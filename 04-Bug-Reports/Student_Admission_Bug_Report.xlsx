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ebfd274bf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830ec7c3833b4498"/>
    <x:sheet xmlns:r="http://schemas.openxmlformats.org/officeDocument/2006/relationships" name="Summary" sheetId="2" r:id="R1d994fd4502a46ed"/>
    <x:sheet xmlns:r="http://schemas.openxmlformats.org/officeDocument/2006/relationships" name="Lists" sheetId="3" r:id="R4ce50393d26a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4454e812b4b05" /><Relationship Type="http://schemas.openxmlformats.org/officeDocument/2006/relationships/theme" Target="/xl/theme/theme1.xml" Id="R8c55823424b84ab8" /><Relationship Type="http://schemas.openxmlformats.org/officeDocument/2006/relationships/sharedStrings" Target="/xl/sharedStrings.xml" Id="Rbb44c0814c3c4caa" /><Relationship Type="http://schemas.openxmlformats.org/officeDocument/2006/relationships/worksheet" Target="/xl/worksheets/sheet1.xml" Id="R830ec7c3833b4498" /><Relationship Type="http://schemas.openxmlformats.org/officeDocument/2006/relationships/worksheet" Target="/xl/worksheets/sheet2.xml" Id="R1d994fd4502a46ed" /><Relationship Type="http://schemas.openxmlformats.org/officeDocument/2006/relationships/worksheet" Target="/xl/worksheets/sheet3.xml" Id="R4ce50393d26a44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72ff42df7e433b" /><Relationship Type="http://schemas.openxmlformats.org/officeDocument/2006/relationships/chart" Target="/xl/drawings/charts/chart2.xml" Id="Rbdce3edfe1bd4b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Severity Wise Bugs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'Summary'!$D$2:$D$5</c:f>
              <c:strCache>
                <c:ptCount val="0"/>
              </c:strCache>
            </c:strRef>
          </c:cat>
          <c:val>
            <c:numRef>
              <c:f>'Summary'!$E$2:$E$5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Bug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cat>
            <c:strRef>
              <c:f>'Summary'!$H$2:$H$7</c:f>
              <c:strCache>
                <c:ptCount val="0"/>
              </c:strCache>
            </c:strRef>
          </c:cat>
          <c:val>
            <c:numRef>
              <c:f>'Summary'!$I$2:$I$7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72ff42df7e433b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ce3edfe1bd4b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gReportsTable" displayName="BugReportsTable" ref="A1:R76" headerRowCount="1">
  <x:tableColumns count="18">
    <x:tableColumn id="1" name="Bug ID"/>
    <x:tableColumn id="2" name="Requirement ID"/>
    <x:tableColumn id="3" name="Scenario ID"/>
    <x:tableColumn id="4" name="Test Case ID"/>
    <x:tableColumn id="5" name="Module"/>
    <x:tableColumn id="6" name="Bug Title"/>
    <x:tableColumn id="7" name="Steps to Reproduce"/>
    <x:tableColumn id="8" name="Expected Result"/>
    <x:tableColumn id="9" name="Actual Result"/>
    <x:tableColumn id="10" name="Severity"/>
    <x:tableColumn id="11" name="Priority"/>
    <x:tableColumn id="12" name="Environment"/>
    <x:tableColumn id="13" name="Status"/>
    <x:tableColumn id="14" name="Reporter"/>
    <x:tableColumn id="15" name="Assignee"/>
    <x:tableColumn id="16" name="Reported Date"/>
    <x:tableColumn id="17" name="Screenshot / Evidence"/>
    <x:tableColumn id="18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9c58f8890a46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e182b555ab4d8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38" hidden="0" customWidth="1"/>
    <x:col min="7" max="7" width="45" hidden="0" customWidth="1"/>
    <x:col min="8" max="8" width="40" hidden="0" customWidth="1"/>
    <x:col min="9" max="9" width="40" hidden="0" customWidth="1"/>
    <x:col min="10" max="10" width="12" hidden="0" customWidth="1"/>
    <x:col min="11" max="11" width="10" hidden="0" customWidth="1"/>
    <x:col min="12" max="12" width="24" hidden="0" customWidth="1"/>
    <x:col min="13" max="13" width="14" hidden="0" customWidth="1"/>
    <x:col min="14" max="14" width="16" hidden="0" customWidth="1"/>
    <x:col min="15" max="15" width="18" hidden="0" customWidth="1"/>
    <x:col min="16" max="16" width="14" hidden="0" customWidth="1"/>
    <x:col min="17" max="17" width="24" hidden="0" customWidth="1"/>
    <x:col min="18" max="18" width="28" hidden="0" customWidth="1"/>
  </x:cols>
  <x:sheetData>
    <x:row r="1">
      <x:c r="A1" s="14" t="str">
        <x:v>Bug ID</x:v>
      </x:c>
      <x:c r="B1" s="14" t="str">
        <x:v>Requirement ID</x:v>
      </x:c>
      <x:c r="C1" s="14" t="str">
        <x:v>Scenario ID</x:v>
      </x:c>
      <x:c r="D1" s="14" t="str">
        <x:v>Test Case ID</x:v>
      </x:c>
      <x:c r="E1" s="14" t="str">
        <x:v>Module</x:v>
      </x:c>
      <x:c r="F1" s="14" t="str">
        <x:v>Bug Title</x:v>
      </x:c>
      <x:c r="G1" s="14" t="str">
        <x:v>Steps to Reproduce</x:v>
      </x:c>
      <x:c r="H1" s="14" t="str">
        <x:v>Expected Result</x:v>
      </x:c>
      <x:c r="I1" s="14" t="str">
        <x:v>Actual Result</x:v>
      </x:c>
      <x:c r="J1" s="14" t="str">
        <x:v>Severity</x:v>
      </x:c>
      <x:c r="K1" s="14" t="str">
        <x:v>Priority</x:v>
      </x:c>
      <x:c r="L1" s="14" t="str">
        <x:v>Environment</x:v>
      </x:c>
      <x:c r="M1" s="14" t="str">
        <x:v>Status</x:v>
      </x:c>
      <x:c r="N1" s="14" t="str">
        <x:v>Reporter</x:v>
      </x:c>
      <x:c r="O1" s="14" t="str">
        <x:v>Assignee</x:v>
      </x:c>
      <x:c r="P1" s="14" t="str">
        <x:v>Reported Date</x:v>
      </x:c>
      <x:c r="Q1" s="14" t="str">
        <x:v>Screenshot / Evidence</x:v>
      </x:c>
      <x:c r="R1" s="14" t="str">
        <x:v>Remarks</x:v>
      </x:c>
    </x:row>
    <x:row r="2">
      <x:c r="A2" s="15" t="str">
        <x:v>BR-ADM-001</x:v>
      </x:c>
      <x:c r="B2" s="15" t="str">
        <x:v>RQ-ADM-001</x:v>
      </x:c>
      <x:c r="C2" s="15" t="str">
        <x:v>TS-ADM-001</x:v>
      </x:c>
      <x:c r="D2" s="15" t="str">
        <x:v>TC-ADM-001</x:v>
      </x:c>
      <x:c r="E2" s="15" t="str">
        <x:v>Student Registration</x:v>
      </x:c>
      <x:c r="F2" s="15" t="str">
        <x:v>Mandatory field validation not triggered for applicant first name</x:v>
      </x:c>
      <x:c r="G2" s="15" t="str">
        <x:v>Open registration form &gt; leave First Name blank &gt; fill other mandatory fields &gt; click Submit</x:v>
      </x:c>
      <x:c r="H2" s="15" t="str">
        <x:v>System should display mandatory validation message for First Name.</x:v>
      </x:c>
      <x:c r="I2" s="15" t="str">
        <x:v>Application allows user to proceed without First Name validation.</x:v>
      </x:c>
      <x:c r="J2" s="15" t="str">
        <x:v>High</x:v>
      </x:c>
      <x:c r="K2" s="15" t="str">
        <x:v>P1</x:v>
      </x:c>
      <x:c r="L2" s="15" t="str">
        <x:v>QA - Chrome 126 / Windows 10</x:v>
      </x:c>
      <x:c r="M2" s="15" t="str">
        <x:v>In Progress</x:v>
      </x:c>
      <x:c r="N2" s="15" t="str">
        <x:v>Aditya Singh</x:v>
      </x:c>
      <x:c r="O2" s="15" t="str">
        <x:v>Dev Team A</x:v>
      </x:c>
      <x:c r="P2" s="18" t="n">
        <x:v>46204</x:v>
      </x:c>
      <x:c r="Q2" s="15" t="str">
        <x:v>Screenshot_BR-ADM-001.png</x:v>
      </x:c>
      <x:c r="R2" s="15" t="str"/>
    </x:row>
    <x:row r="3">
      <x:c r="A3" s="15" t="str">
        <x:v>BR-ADM-002</x:v>
      </x:c>
      <x:c r="B3" s="15" t="str">
        <x:v>RQ-ADM-002</x:v>
      </x:c>
      <x:c r="C3" s="15" t="str">
        <x:v>TS-ADM-002</x:v>
      </x:c>
      <x:c r="D3" s="15" t="str">
        <x:v>TC-ADM-002</x:v>
      </x:c>
      <x:c r="E3" s="15" t="str">
        <x:v>Student Registration</x:v>
      </x:c>
      <x:c r="F3" s="15" t="str">
        <x:v>Duplicate mobile number accepted during student registration</x:v>
      </x:c>
      <x:c r="G3" s="15" t="str">
        <x:v>Register student with mobile number already available in system &gt; click Submit</x:v>
      </x:c>
      <x:c r="H3" s="15" t="str">
        <x:v>System should prevent duplicate mobile number and show validation message.</x:v>
      </x:c>
      <x:c r="I3" s="15" t="str">
        <x:v>Duplicate mobile number is accepted and new applicant record is created.</x:v>
      </x:c>
      <x:c r="J3" s="15" t="str">
        <x:v>High</x:v>
      </x:c>
      <x:c r="K3" s="15" t="str">
        <x:v>P1</x:v>
      </x:c>
      <x:c r="L3" s="15" t="str">
        <x:v>QA - Edge / Windows 10</x:v>
      </x:c>
      <x:c r="M3" s="15" t="str">
        <x:v>Closed</x:v>
      </x:c>
      <x:c r="N3" s="15" t="str">
        <x:v>Aditya Singh</x:v>
      </x:c>
      <x:c r="O3" s="15" t="str">
        <x:v>Dev Team B</x:v>
      </x:c>
      <x:c r="P3" s="18" t="n">
        <x:v>46205</x:v>
      </x:c>
      <x:c r="Q3" s="15" t="str">
        <x:v>Screenshot_BR-ADM-002.png</x:v>
      </x:c>
      <x:c r="R3" s="15" t="str"/>
    </x:row>
    <x:row r="4">
      <x:c r="A4" s="15" t="str">
        <x:v>BR-ADM-003</x:v>
      </x:c>
      <x:c r="B4" s="15" t="str">
        <x:v>RQ-ADM-003</x:v>
      </x:c>
      <x:c r="C4" s="15" t="str">
        <x:v>TS-ADM-003</x:v>
      </x:c>
      <x:c r="D4" s="15" t="str">
        <x:v>TC-ADM-003</x:v>
      </x:c>
      <x:c r="E4" s="15" t="str">
        <x:v>Student Registration</x:v>
      </x:c>
      <x:c r="F4" s="15" t="str">
        <x:v>Invalid email format accepted in applicant email field</x:v>
      </x:c>
      <x:c r="G4" s="15" t="str">
        <x:v>Enter invalid email like test@@mail &gt; submit registration form</x:v>
      </x:c>
      <x:c r="H4" s="15" t="str">
        <x:v>System should validate email format before submission.</x:v>
      </x:c>
      <x:c r="I4" s="15" t="str">
        <x:v>Invalid email is accepted and saved successfully.</x:v>
      </x:c>
      <x:c r="J4" s="15" t="str">
        <x:v>Medium</x:v>
      </x:c>
      <x:c r="K4" s="15" t="str">
        <x:v>P2</x:v>
      </x:c>
      <x:c r="L4" s="15" t="str">
        <x:v>QA - Firefox / Windows 10</x:v>
      </x:c>
      <x:c r="M4" s="15" t="str">
        <x:v>In Progress</x:v>
      </x:c>
      <x:c r="N4" s="15" t="str">
        <x:v>Aditya Singh</x:v>
      </x:c>
      <x:c r="O4" s="15" t="str">
        <x:v>Admission Module Dev</x:v>
      </x:c>
      <x:c r="P4" s="18" t="n">
        <x:v>46206</x:v>
      </x:c>
      <x:c r="Q4" s="15" t="str">
        <x:v>Screenshot_BR-ADM-003.png</x:v>
      </x:c>
      <x:c r="R4" s="15" t="str"/>
    </x:row>
    <x:row r="5">
      <x:c r="A5" s="15" t="str">
        <x:v>BR-ADM-004</x:v>
      </x:c>
      <x:c r="B5" s="15" t="str">
        <x:v>RQ-ADM-004</x:v>
      </x:c>
      <x:c r="C5" s="15" t="str">
        <x:v>TS-ADM-004</x:v>
      </x:c>
      <x:c r="D5" s="15" t="str">
        <x:v>TC-ADM-004</x:v>
      </x:c>
      <x:c r="E5" s="15" t="str">
        <x:v>Student Registration</x:v>
      </x:c>
      <x:c r="F5" s="15" t="str">
        <x:v>Date of birth allows future date</x:v>
      </x:c>
      <x:c r="G5" s="15" t="str">
        <x:v>Open registration form &gt; select future DOB &gt; submit</x:v>
      </x:c>
      <x:c r="H5" s="15" t="str">
        <x:v>Future DOB should not be allowed.</x:v>
      </x:c>
      <x:c r="I5" s="15" t="str">
        <x:v>System saves future DOB without validation.</x:v>
      </x:c>
      <x:c r="J5" s="15" t="str">
        <x:v>High</x:v>
      </x:c>
      <x:c r="K5" s="15" t="str">
        <x:v>P1</x:v>
      </x:c>
      <x:c r="L5" s="15" t="str">
        <x:v>UAT - Chrome / Windows 11</x:v>
      </x:c>
      <x:c r="M5" s="15" t="str">
        <x:v>Closed</x:v>
      </x:c>
      <x:c r="N5" s="15" t="str">
        <x:v>Aditya Singh</x:v>
      </x:c>
      <x:c r="O5" s="15" t="str">
        <x:v>Backend Team</x:v>
      </x:c>
      <x:c r="P5" s="18" t="n">
        <x:v>46207</x:v>
      </x:c>
      <x:c r="Q5" s="15" t="str">
        <x:v>Screenshot_BR-ADM-004.png</x:v>
      </x:c>
      <x:c r="R5" s="15" t="str"/>
    </x:row>
    <x:row r="6">
      <x:c r="A6" s="15" t="str">
        <x:v>BR-ADM-005</x:v>
      </x:c>
      <x:c r="B6" s="15" t="str">
        <x:v>RQ-ADM-005</x:v>
      </x:c>
      <x:c r="C6" s="15" t="str">
        <x:v>TS-ADM-005</x:v>
      </x:c>
      <x:c r="D6" s="15" t="str">
        <x:v>TC-ADM-005</x:v>
      </x:c>
      <x:c r="E6" s="15" t="str">
        <x:v>Student Registration</x:v>
      </x:c>
      <x:c r="F6" s="15" t="str">
        <x:v>Aadhaar number accepts less than 12 digits</x:v>
      </x:c>
      <x:c r="G6" s="15" t="str">
        <x:v>Enter 10 digit Aadhaar number &gt; submit form</x:v>
      </x:c>
      <x:c r="H6" s="15" t="str">
        <x:v>Aadhaar field should accept exactly 12 digits.</x:v>
      </x:c>
      <x:c r="I6" s="15" t="str">
        <x:v>System accepts Aadhaar with less than 12 digits.</x:v>
      </x:c>
      <x:c r="J6" s="15" t="str">
        <x:v>Medium</x:v>
      </x:c>
      <x:c r="K6" s="15" t="str">
        <x:v>P2</x:v>
      </x:c>
      <x:c r="L6" s="15" t="str">
        <x:v>QA - Mobile Responsive</x:v>
      </x:c>
      <x:c r="M6" s="15" t="str">
        <x:v>In Progress</x:v>
      </x:c>
      <x:c r="N6" s="15" t="str">
        <x:v>Aditya Singh</x:v>
      </x:c>
      <x:c r="O6" s="15" t="str">
        <x:v>UI Team</x:v>
      </x:c>
      <x:c r="P6" s="18" t="n">
        <x:v>46208</x:v>
      </x:c>
      <x:c r="Q6" s="15" t="str">
        <x:v>Screenshot_BR-ADM-005.png</x:v>
      </x:c>
      <x:c r="R6" s="15" t="str"/>
    </x:row>
    <x:row r="7">
      <x:c r="A7" s="15" t="str">
        <x:v>BR-ADM-006</x:v>
      </x:c>
      <x:c r="B7" s="15" t="str">
        <x:v>RQ-ADM-006</x:v>
      </x:c>
      <x:c r="C7" s="15" t="str">
        <x:v>TS-ADM-006</x:v>
      </x:c>
      <x:c r="D7" s="15" t="str">
        <x:v>TC-ADM-006</x:v>
      </x:c>
      <x:c r="E7" s="15" t="str">
        <x:v>Admission Form</x:v>
      </x:c>
      <x:c r="F7" s="15" t="str">
        <x:v>Admission form submits without selecting academic session</x:v>
      </x:c>
      <x:c r="G7" s="15" t="str">
        <x:v>Open admission form &gt; keep Academic Session blank &gt; submit</x:v>
      </x:c>
      <x:c r="H7" s="15" t="str">
        <x:v>Academic Session should be mandatory.</x:v>
      </x:c>
      <x:c r="I7" s="15" t="str">
        <x:v>Admission form submitted without academic session.</x:v>
      </x:c>
      <x:c r="J7" s="15" t="str">
        <x:v>High</x:v>
      </x:c>
      <x:c r="K7" s="15" t="str">
        <x:v>P1</x:v>
      </x:c>
      <x:c r="L7" s="15" t="str">
        <x:v>QA - Chrome 126 / Windows 10</x:v>
      </x:c>
      <x:c r="M7" s="15" t="str">
        <x:v>Closed</x:v>
      </x:c>
      <x:c r="N7" s="15" t="str">
        <x:v>Aditya Singh</x:v>
      </x:c>
      <x:c r="O7" s="15" t="str">
        <x:v>QA Retest Team</x:v>
      </x:c>
      <x:c r="P7" s="18" t="n">
        <x:v>46209</x:v>
      </x:c>
      <x:c r="Q7" s="15" t="str">
        <x:v>Screenshot_BR-ADM-006.png</x:v>
      </x:c>
      <x:c r="R7" s="15" t="str"/>
    </x:row>
    <x:row r="8">
      <x:c r="A8" s="15" t="str">
        <x:v>BR-ADM-007</x:v>
      </x:c>
      <x:c r="B8" s="15" t="str">
        <x:v>RQ-ADM-007</x:v>
      </x:c>
      <x:c r="C8" s="15" t="str">
        <x:v>TS-ADM-007</x:v>
      </x:c>
      <x:c r="D8" s="15" t="str">
        <x:v>TC-ADM-007</x:v>
      </x:c>
      <x:c r="E8" s="15" t="str">
        <x:v>Admission Form</x:v>
      </x:c>
      <x:c r="F8" s="15" t="str">
        <x:v>Father name field accepts special characters</x:v>
      </x:c>
      <x:c r="G8" s="15" t="str">
        <x:v>Enter special characters in Father Name field &gt; save form</x:v>
      </x:c>
      <x:c r="H8" s="15" t="str">
        <x:v>Name field should accept alphabets and valid spaces only.</x:v>
      </x:c>
      <x:c r="I8" s="15" t="str">
        <x:v>Special characters are accepted in Father Name field.</x:v>
      </x:c>
      <x:c r="J8" s="15" t="str">
        <x:v>Low</x:v>
      </x:c>
      <x:c r="K8" s="15" t="str">
        <x:v>P3</x:v>
      </x:c>
      <x:c r="L8" s="15" t="str">
        <x:v>QA - Edge / Windows 10</x:v>
      </x:c>
      <x:c r="M8" s="15" t="str">
        <x:v>In Progress</x:v>
      </x:c>
      <x:c r="N8" s="15" t="str">
        <x:v>Aditya Singh</x:v>
      </x:c>
      <x:c r="O8" s="15" t="str">
        <x:v>Dev Team A</x:v>
      </x:c>
      <x:c r="P8" s="18" t="n">
        <x:v>46210</x:v>
      </x:c>
      <x:c r="Q8" s="15" t="str">
        <x:v>Screenshot_BR-ADM-007.png</x:v>
      </x:c>
      <x:c r="R8" s="15" t="str"/>
    </x:row>
    <x:row r="9">
      <x:c r="A9" s="15" t="str">
        <x:v>BR-ADM-008</x:v>
      </x:c>
      <x:c r="B9" s="15" t="str">
        <x:v>RQ-ADM-008</x:v>
      </x:c>
      <x:c r="C9" s="15" t="str">
        <x:v>TS-ADM-008</x:v>
      </x:c>
      <x:c r="D9" s="15" t="str">
        <x:v>TC-ADM-008</x:v>
      </x:c>
      <x:c r="E9" s="15" t="str">
        <x:v>Admission Form</x:v>
      </x:c>
      <x:c r="F9" s="15" t="str">
        <x:v>Address field trims entered text after 100 characters</x:v>
      </x:c>
      <x:c r="G9" s="15" t="str">
        <x:v>Enter long permanent address &gt; save &gt; reopen profile</x:v>
      </x:c>
      <x:c r="H9" s="15" t="str">
        <x:v>Full address should be saved as per allowed limit.</x:v>
      </x:c>
      <x:c r="I9" s="15" t="str">
        <x:v>Address text is truncated unexpectedly after save.</x:v>
      </x:c>
      <x:c r="J9" s="15" t="str">
        <x:v>Medium</x:v>
      </x:c>
      <x:c r="K9" s="15" t="str">
        <x:v>P2</x:v>
      </x:c>
      <x:c r="L9" s="15" t="str">
        <x:v>QA - Firefox / Windows 10</x:v>
      </x:c>
      <x:c r="M9" s="15" t="str">
        <x:v>Closed</x:v>
      </x:c>
      <x:c r="N9" s="15" t="str">
        <x:v>Aditya Singh</x:v>
      </x:c>
      <x:c r="O9" s="15" t="str">
        <x:v>Dev Team B</x:v>
      </x:c>
      <x:c r="P9" s="18" t="n">
        <x:v>46211</x:v>
      </x:c>
      <x:c r="Q9" s="15" t="str">
        <x:v>Screenshot_BR-ADM-008.png</x:v>
      </x:c>
      <x:c r="R9" s="15" t="str"/>
    </x:row>
    <x:row r="10">
      <x:c r="A10" s="15" t="str">
        <x:v>BR-ADM-009</x:v>
      </x:c>
      <x:c r="B10" s="15" t="str">
        <x:v>RQ-ADM-009</x:v>
      </x:c>
      <x:c r="C10" s="15" t="str">
        <x:v>TS-ADM-009</x:v>
      </x:c>
      <x:c r="D10" s="15" t="str">
        <x:v>TC-ADM-009</x:v>
      </x:c>
      <x:c r="E10" s="15" t="str">
        <x:v>Admission Form</x:v>
      </x:c>
      <x:c r="F10" s="15" t="str">
        <x:v>Gender dropdown value resets after save</x:v>
      </x:c>
      <x:c r="G10" s="15" t="str">
        <x:v>Select Gender &gt; save admission form &gt; reopen same record</x:v>
      </x:c>
      <x:c r="H10" s="15" t="str">
        <x:v>Selected gender should remain saved.</x:v>
      </x:c>
      <x:c r="I10" s="15" t="str">
        <x:v>Gender field resets to default blank value.</x:v>
      </x:c>
      <x:c r="J10" s="15" t="str">
        <x:v>Medium</x:v>
      </x:c>
      <x:c r="K10" s="15" t="str">
        <x:v>P2</x:v>
      </x:c>
      <x:c r="L10" s="15" t="str">
        <x:v>UAT - Chrome / Windows 11</x:v>
      </x:c>
      <x:c r="M10" s="15" t="str">
        <x:v>In Progress</x:v>
      </x:c>
      <x:c r="N10" s="15" t="str">
        <x:v>Aditya Singh</x:v>
      </x:c>
      <x:c r="O10" s="15" t="str">
        <x:v>Admission Module Dev</x:v>
      </x:c>
      <x:c r="P10" s="18" t="n">
        <x:v>46212</x:v>
      </x:c>
      <x:c r="Q10" s="15" t="str">
        <x:v>Screenshot_BR-ADM-009.png</x:v>
      </x:c>
      <x:c r="R10" s="15" t="str"/>
    </x:row>
    <x:row r="11">
      <x:c r="A11" s="15" t="str">
        <x:v>BR-ADM-010</x:v>
      </x:c>
      <x:c r="B11" s="15" t="str">
        <x:v>RQ-ADM-010</x:v>
      </x:c>
      <x:c r="C11" s="15" t="str">
        <x:v>TS-ADM-010</x:v>
      </x:c>
      <x:c r="D11" s="15" t="str">
        <x:v>TC-ADM-010</x:v>
      </x:c>
      <x:c r="E11" s="15" t="str">
        <x:v>Admission Form</x:v>
      </x:c>
      <x:c r="F11" s="15" t="str">
        <x:v>Application number not generated after successful admission form submission</x:v>
      </x:c>
      <x:c r="G11" s="15" t="str">
        <x:v>Submit all mandatory details &gt; click Save</x:v>
      </x:c>
      <x:c r="H11" s="15" t="str">
        <x:v>Unique application number should be generated.</x:v>
      </x:c>
      <x:c r="I11" s="15" t="str">
        <x:v>No application number is generated after submission.</x:v>
      </x:c>
      <x:c r="J11" s="15" t="str">
        <x:v>Critical</x:v>
      </x:c>
      <x:c r="K11" s="15" t="str">
        <x:v>P1</x:v>
      </x:c>
      <x:c r="L11" s="15" t="str">
        <x:v>QA - Mobile Responsive</x:v>
      </x:c>
      <x:c r="M11" s="15" t="str">
        <x:v>In Progress</x:v>
      </x:c>
      <x:c r="N11" s="15" t="str">
        <x:v>Aditya Singh</x:v>
      </x:c>
      <x:c r="O11" s="15" t="str">
        <x:v>Backend Team</x:v>
      </x:c>
      <x:c r="P11" s="18" t="n">
        <x:v>46213</x:v>
      </x:c>
      <x:c r="Q11" s="15" t="str">
        <x:v>Screenshot_BR-ADM-010.png</x:v>
      </x:c>
      <x:c r="R11" s="15" t="str"/>
    </x:row>
    <x:row r="12">
      <x:c r="A12" s="15" t="str">
        <x:v>BR-ADM-011</x:v>
      </x:c>
      <x:c r="B12" s="15" t="str">
        <x:v>RQ-ADM-011</x:v>
      </x:c>
      <x:c r="C12" s="15" t="str">
        <x:v>TS-ADM-011</x:v>
      </x:c>
      <x:c r="D12" s="15" t="str">
        <x:v>TC-ADM-011</x:v>
      </x:c>
      <x:c r="E12" s="15" t="str">
        <x:v>Course Selection</x:v>
      </x:c>
      <x:c r="F12" s="15" t="str">
        <x:v>Inactive course displayed in course selection dropdown</x:v>
      </x:c>
      <x:c r="G12" s="15" t="str">
        <x:v>Open Course Selection &gt; check course list</x:v>
      </x:c>
      <x:c r="H12" s="15" t="str">
        <x:v>Only active courses should be displayed.</x:v>
      </x:c>
      <x:c r="I12" s="15" t="str">
        <x:v>Inactive courses are visible in dropdown.</x:v>
      </x:c>
      <x:c r="J12" s="15" t="str">
        <x:v>Medium</x:v>
      </x:c>
      <x:c r="K12" s="15" t="str">
        <x:v>P2</x:v>
      </x:c>
      <x:c r="L12" s="15" t="str">
        <x:v>QA - Chrome 126 / Windows 10</x:v>
      </x:c>
      <x:c r="M12" s="15" t="str">
        <x:v>In Progress</x:v>
      </x:c>
      <x:c r="N12" s="15" t="str">
        <x:v>Aditya Singh</x:v>
      </x:c>
      <x:c r="O12" s="15" t="str">
        <x:v>UI Team</x:v>
      </x:c>
      <x:c r="P12" s="18" t="n">
        <x:v>46214</x:v>
      </x:c>
      <x:c r="Q12" s="15" t="str">
        <x:v>Screenshot_BR-ADM-011.png</x:v>
      </x:c>
      <x:c r="R12" s="15" t="str"/>
    </x:row>
    <x:row r="13">
      <x:c r="A13" s="15" t="str">
        <x:v>BR-ADM-012</x:v>
      </x:c>
      <x:c r="B13" s="15" t="str">
        <x:v>RQ-ADM-012</x:v>
      </x:c>
      <x:c r="C13" s="15" t="str">
        <x:v>TS-ADM-012</x:v>
      </x:c>
      <x:c r="D13" s="15" t="str">
        <x:v>TC-ADM-012</x:v>
      </x:c>
      <x:c r="E13" s="15" t="str">
        <x:v>Course Selection</x:v>
      </x:c>
      <x:c r="F13" s="15" t="str">
        <x:v>Course seat availability not updated after successful admission</x:v>
      </x:c>
      <x:c r="G13" s="15" t="str">
        <x:v>Select course with available seats &gt; approve admission &gt; check seat count</x:v>
      </x:c>
      <x:c r="H13" s="15" t="str">
        <x:v>Available seat count should decrease by one.</x:v>
      </x:c>
      <x:c r="I13" s="15" t="str">
        <x:v>Seat count remains unchanged.</x:v>
      </x:c>
      <x:c r="J13" s="15" t="str">
        <x:v>High</x:v>
      </x:c>
      <x:c r="K13" s="15" t="str">
        <x:v>P1</x:v>
      </x:c>
      <x:c r="L13" s="15" t="str">
        <x:v>QA - Edge / Windows 10</x:v>
      </x:c>
      <x:c r="M13" s="15" t="str">
        <x:v>Closed</x:v>
      </x:c>
      <x:c r="N13" s="15" t="str">
        <x:v>Aditya Singh</x:v>
      </x:c>
      <x:c r="O13" s="15" t="str">
        <x:v>QA Retest Team</x:v>
      </x:c>
      <x:c r="P13" s="18" t="n">
        <x:v>46215</x:v>
      </x:c>
      <x:c r="Q13" s="15" t="str">
        <x:v>Screenshot_BR-ADM-012.png</x:v>
      </x:c>
      <x:c r="R13" s="15" t="str"/>
    </x:row>
    <x:row r="14">
      <x:c r="A14" s="15" t="str">
        <x:v>BR-ADM-013</x:v>
      </x:c>
      <x:c r="B14" s="15" t="str">
        <x:v>RQ-ADM-013</x:v>
      </x:c>
      <x:c r="C14" s="15" t="str">
        <x:v>TS-ADM-013</x:v>
      </x:c>
      <x:c r="D14" s="15" t="str">
        <x:v>TC-ADM-013</x:v>
      </x:c>
      <x:c r="E14" s="15" t="str">
        <x:v>Course Selection</x:v>
      </x:c>
      <x:c r="F14" s="15" t="str">
        <x:v>Course eligibility validation missing for minimum percentage</x:v>
      </x:c>
      <x:c r="G14" s="15" t="str">
        <x:v>Select course requiring 60% &gt; enter 45% marks &gt; submit</x:v>
      </x:c>
      <x:c r="H14" s="15" t="str">
        <x:v>System should block course selection when eligibility is not met.</x:v>
      </x:c>
      <x:c r="I14" s="15" t="str">
        <x:v>Course selection allowed despite low percentage.</x:v>
      </x:c>
      <x:c r="J14" s="15" t="str">
        <x:v>High</x:v>
      </x:c>
      <x:c r="K14" s="15" t="str">
        <x:v>P1</x:v>
      </x:c>
      <x:c r="L14" s="15" t="str">
        <x:v>QA - Firefox / Windows 10</x:v>
      </x:c>
      <x:c r="M14" s="15" t="str">
        <x:v>In Progress</x:v>
      </x:c>
      <x:c r="N14" s="15" t="str">
        <x:v>Aditya Singh</x:v>
      </x:c>
      <x:c r="O14" s="15" t="str">
        <x:v>Dev Team A</x:v>
      </x:c>
      <x:c r="P14" s="18" t="n">
        <x:v>46216</x:v>
      </x:c>
      <x:c r="Q14" s="15" t="str">
        <x:v>Screenshot_BR-ADM-013.png</x:v>
      </x:c>
      <x:c r="R14" s="15" t="str"/>
    </x:row>
    <x:row r="15">
      <x:c r="A15" s="15" t="str">
        <x:v>BR-ADM-014</x:v>
      </x:c>
      <x:c r="B15" s="15" t="str">
        <x:v>RQ-ADM-014</x:v>
      </x:c>
      <x:c r="C15" s="15" t="str">
        <x:v>TS-ADM-014</x:v>
      </x:c>
      <x:c r="D15" s="15" t="str">
        <x:v>TC-ADM-014</x:v>
      </x:c>
      <x:c r="E15" s="15" t="str">
        <x:v>Course Selection</x:v>
      </x:c>
      <x:c r="F15" s="15" t="str">
        <x:v>Branch dropdown shows duplicate branch names</x:v>
      </x:c>
      <x:c r="G15" s="15" t="str">
        <x:v>Open branch dropdown under selected course</x:v>
      </x:c>
      <x:c r="H15" s="15" t="str">
        <x:v>Branch list should show unique active branches.</x:v>
      </x:c>
      <x:c r="I15" s="15" t="str">
        <x:v>Duplicate branch values are displayed.</x:v>
      </x:c>
      <x:c r="J15" s="15" t="str">
        <x:v>Low</x:v>
      </x:c>
      <x:c r="K15" s="15" t="str">
        <x:v>P3</x:v>
      </x:c>
      <x:c r="L15" s="15" t="str">
        <x:v>UAT - Chrome / Windows 11</x:v>
      </x:c>
      <x:c r="M15" s="15" t="str">
        <x:v>Closed</x:v>
      </x:c>
      <x:c r="N15" s="15" t="str">
        <x:v>Aditya Singh</x:v>
      </x:c>
      <x:c r="O15" s="15" t="str">
        <x:v>Dev Team B</x:v>
      </x:c>
      <x:c r="P15" s="18" t="n">
        <x:v>46217</x:v>
      </x:c>
      <x:c r="Q15" s="15" t="str">
        <x:v>Screenshot_BR-ADM-014.png</x:v>
      </x:c>
      <x:c r="R15" s="15" t="str"/>
    </x:row>
    <x:row r="16">
      <x:c r="A16" s="15" t="str">
        <x:v>BR-ADM-015</x:v>
      </x:c>
      <x:c r="B16" s="15" t="str">
        <x:v>RQ-ADM-015</x:v>
      </x:c>
      <x:c r="C16" s="15" t="str">
        <x:v>TS-ADM-015</x:v>
      </x:c>
      <x:c r="D16" s="15" t="str">
        <x:v>TC-ADM-015</x:v>
      </x:c>
      <x:c r="E16" s="15" t="str">
        <x:v>Course Selection</x:v>
      </x:c>
      <x:c r="F16" s="15" t="str">
        <x:v>Wrong semester displayed for lateral entry applicant</x:v>
      </x:c>
      <x:c r="G16" s="15" t="str">
        <x:v>Select lateral entry option &gt; choose course</x:v>
      </x:c>
      <x:c r="H16" s="15" t="str">
        <x:v>System should display correct semester for lateral entry.</x:v>
      </x:c>
      <x:c r="I16" s="15" t="str">
        <x:v>Semester 1 displayed instead of Semester 3.</x:v>
      </x:c>
      <x:c r="J16" s="15" t="str">
        <x:v>Medium</x:v>
      </x:c>
      <x:c r="K16" s="15" t="str">
        <x:v>P2</x:v>
      </x:c>
      <x:c r="L16" s="15" t="str">
        <x:v>QA - Mobile Responsive</x:v>
      </x:c>
      <x:c r="M16" s="15" t="str">
        <x:v>In Progress</x:v>
      </x:c>
      <x:c r="N16" s="15" t="str">
        <x:v>Aditya Singh</x:v>
      </x:c>
      <x:c r="O16" s="15" t="str">
        <x:v>Admission Module Dev</x:v>
      </x:c>
      <x:c r="P16" s="18" t="n">
        <x:v>46218</x:v>
      </x:c>
      <x:c r="Q16" s="15" t="str">
        <x:v>Screenshot_BR-ADM-015.png</x:v>
      </x:c>
      <x:c r="R16" s="15" t="str"/>
    </x:row>
    <x:row r="17">
      <x:c r="A17" s="15" t="str">
        <x:v>BR-ADM-016</x:v>
      </x:c>
      <x:c r="B17" s="15" t="str">
        <x:v>RQ-ADM-016</x:v>
      </x:c>
      <x:c r="C17" s="15" t="str">
        <x:v>TS-ADM-016</x:v>
      </x:c>
      <x:c r="D17" s="15" t="str">
        <x:v>TC-ADM-016</x:v>
      </x:c>
      <x:c r="E17" s="15" t="str">
        <x:v>Document Upload</x:v>
      </x:c>
      <x:c r="F17" s="15" t="str">
        <x:v>PDF document upload fails below allowed file size</x:v>
      </x:c>
      <x:c r="G17" s="15" t="str">
        <x:v>Upload valid PDF under 2 MB</x:v>
      </x:c>
      <x:c r="H17" s="15" t="str">
        <x:v>Valid PDF should upload successfully.</x:v>
      </x:c>
      <x:c r="I17" s="15" t="str">
        <x:v>Upload fails with generic error message.</x:v>
      </x:c>
      <x:c r="J17" s="15" t="str">
        <x:v>High</x:v>
      </x:c>
      <x:c r="K17" s="15" t="str">
        <x:v>P1</x:v>
      </x:c>
      <x:c r="L17" s="15" t="str">
        <x:v>QA - Chrome 126 / Windows 10</x:v>
      </x:c>
      <x:c r="M17" s="15" t="str">
        <x:v>Closed</x:v>
      </x:c>
      <x:c r="N17" s="15" t="str">
        <x:v>Aditya Singh</x:v>
      </x:c>
      <x:c r="O17" s="15" t="str">
        <x:v>Backend Team</x:v>
      </x:c>
      <x:c r="P17" s="18" t="n">
        <x:v>46219</x:v>
      </x:c>
      <x:c r="Q17" s="15" t="str">
        <x:v>Screenshot_BR-ADM-016.png</x:v>
      </x:c>
      <x:c r="R17" s="15" t="str"/>
    </x:row>
    <x:row r="18">
      <x:c r="A18" s="15" t="str">
        <x:v>BR-ADM-017</x:v>
      </x:c>
      <x:c r="B18" s="15" t="str">
        <x:v>RQ-ADM-017</x:v>
      </x:c>
      <x:c r="C18" s="15" t="str">
        <x:v>TS-ADM-017</x:v>
      </x:c>
      <x:c r="D18" s="15" t="str">
        <x:v>TC-ADM-017</x:v>
      </x:c>
      <x:c r="E18" s="15" t="str">
        <x:v>Document Upload</x:v>
      </x:c>
      <x:c r="F18" s="15" t="str">
        <x:v>Unsupported file type accepted for mark sheet upload</x:v>
      </x:c>
      <x:c r="G18" s="15" t="str">
        <x:v>Upload .exe or .zip file in mark sheet field</x:v>
      </x:c>
      <x:c r="H18" s="15" t="str">
        <x:v>System should allow only configured document types.</x:v>
      </x:c>
      <x:c r="I18" s="15" t="str">
        <x:v>Unsupported file type is uploaded successfully.</x:v>
      </x:c>
      <x:c r="J18" s="15" t="str">
        <x:v>Critical</x:v>
      </x:c>
      <x:c r="K18" s="15" t="str">
        <x:v>P1</x:v>
      </x:c>
      <x:c r="L18" s="15" t="str">
        <x:v>QA - Edge / Windows 10</x:v>
      </x:c>
      <x:c r="M18" s="15" t="str">
        <x:v>Open</x:v>
      </x:c>
      <x:c r="N18" s="15" t="str">
        <x:v>Aditya Singh</x:v>
      </x:c>
      <x:c r="O18" s="15" t="str">
        <x:v>UI Team</x:v>
      </x:c>
      <x:c r="P18" s="18" t="n">
        <x:v>46220</x:v>
      </x:c>
      <x:c r="Q18" s="15" t="str">
        <x:v>Screenshot_BR-ADM-017.png</x:v>
      </x:c>
      <x:c r="R18" s="15" t="str"/>
    </x:row>
    <x:row r="19">
      <x:c r="A19" s="15" t="str">
        <x:v>BR-ADM-018</x:v>
      </x:c>
      <x:c r="B19" s="15" t="str">
        <x:v>RQ-ADM-018</x:v>
      </x:c>
      <x:c r="C19" s="15" t="str">
        <x:v>TS-ADM-018</x:v>
      </x:c>
      <x:c r="D19" s="15" t="str">
        <x:v>TC-ADM-018</x:v>
      </x:c>
      <x:c r="E19" s="15" t="str">
        <x:v>Document Upload</x:v>
      </x:c>
      <x:c r="F19" s="15" t="str">
        <x:v>Document status remains Pending after successful upload</x:v>
      </x:c>
      <x:c r="G19" s="15" t="str">
        <x:v>Upload required document &gt; check document verification grid</x:v>
      </x:c>
      <x:c r="H19" s="15" t="str">
        <x:v>Status should update to Uploaded/Submitted.</x:v>
      </x:c>
      <x:c r="I19" s="15" t="str">
        <x:v>Status remains Pending.</x:v>
      </x:c>
      <x:c r="J19" s="15" t="str">
        <x:v>Medium</x:v>
      </x:c>
      <x:c r="K19" s="15" t="str">
        <x:v>P2</x:v>
      </x:c>
      <x:c r="L19" s="15" t="str">
        <x:v>QA - Firefox / Windows 10</x:v>
      </x:c>
      <x:c r="M19" s="15" t="str">
        <x:v>Closed</x:v>
      </x:c>
      <x:c r="N19" s="15" t="str">
        <x:v>Aditya Singh</x:v>
      </x:c>
      <x:c r="O19" s="15" t="str">
        <x:v>QA Retest Team</x:v>
      </x:c>
      <x:c r="P19" s="18" t="n">
        <x:v>46221</x:v>
      </x:c>
      <x:c r="Q19" s="15" t="str">
        <x:v>Screenshot_BR-ADM-018.png</x:v>
      </x:c>
      <x:c r="R19" s="15" t="str"/>
    </x:row>
    <x:row r="20">
      <x:c r="A20" s="15" t="str">
        <x:v>BR-ADM-019</x:v>
      </x:c>
      <x:c r="B20" s="15" t="str">
        <x:v>RQ-ADM-019</x:v>
      </x:c>
      <x:c r="C20" s="15" t="str">
        <x:v>TS-ADM-019</x:v>
      </x:c>
      <x:c r="D20" s="15" t="str">
        <x:v>TC-ADM-019</x:v>
      </x:c>
      <x:c r="E20" s="15" t="str">
        <x:v>Document Upload</x:v>
      </x:c>
      <x:c r="F20" s="15" t="str">
        <x:v>Uploaded document preview shows blank page</x:v>
      </x:c>
      <x:c r="G20" s="15" t="str">
        <x:v>Upload valid PDF &gt; click Preview</x:v>
      </x:c>
      <x:c r="H20" s="15" t="str">
        <x:v>Uploaded document should preview correctly.</x:v>
      </x:c>
      <x:c r="I20" s="15" t="str">
        <x:v>Preview opens but displays blank page.</x:v>
      </x:c>
      <x:c r="J20" s="15" t="str">
        <x:v>Medium</x:v>
      </x:c>
      <x:c r="K20" s="15" t="str">
        <x:v>P2</x:v>
      </x:c>
      <x:c r="L20" s="15" t="str">
        <x:v>UAT - Chrome / Windows 11</x:v>
      </x:c>
      <x:c r="M20" s="15" t="str">
        <x:v>In Progress</x:v>
      </x:c>
      <x:c r="N20" s="15" t="str">
        <x:v>Aditya Singh</x:v>
      </x:c>
      <x:c r="O20" s="15" t="str">
        <x:v>Dev Team A</x:v>
      </x:c>
      <x:c r="P20" s="18" t="n">
        <x:v>46204</x:v>
      </x:c>
      <x:c r="Q20" s="15" t="str">
        <x:v>Screenshot_BR-ADM-019.png</x:v>
      </x:c>
      <x:c r="R20" s="15" t="str"/>
    </x:row>
    <x:row r="21">
      <x:c r="A21" s="15" t="str">
        <x:v>BR-ADM-020</x:v>
      </x:c>
      <x:c r="B21" s="15" t="str">
        <x:v>RQ-ADM-020</x:v>
      </x:c>
      <x:c r="C21" s="15" t="str">
        <x:v>TS-ADM-020</x:v>
      </x:c>
      <x:c r="D21" s="15" t="str">
        <x:v>TC-ADM-020</x:v>
      </x:c>
      <x:c r="E21" s="15" t="str">
        <x:v>Document Upload</x:v>
      </x:c>
      <x:c r="F21" s="15" t="str">
        <x:v>Delete document option available after verification approval</x:v>
      </x:c>
      <x:c r="G21" s="15" t="str">
        <x:v>Verify document as approved &gt; login as applicant &gt; open documents</x:v>
      </x:c>
      <x:c r="H21" s="15" t="str">
        <x:v>Approved document should not be deletable by applicant.</x:v>
      </x:c>
      <x:c r="I21" s="15" t="str">
        <x:v>Applicant can delete approved document.</x:v>
      </x:c>
      <x:c r="J21" s="15" t="str">
        <x:v>High</x:v>
      </x:c>
      <x:c r="K21" s="15" t="str">
        <x:v>P1</x:v>
      </x:c>
      <x:c r="L21" s="15" t="str">
        <x:v>QA - Mobile Responsive</x:v>
      </x:c>
      <x:c r="M21" s="15" t="str">
        <x:v>Closed</x:v>
      </x:c>
      <x:c r="N21" s="15" t="str">
        <x:v>Aditya Singh</x:v>
      </x:c>
      <x:c r="O21" s="15" t="str">
        <x:v>Dev Team B</x:v>
      </x:c>
      <x:c r="P21" s="18" t="n">
        <x:v>46205</x:v>
      </x:c>
      <x:c r="Q21" s="15" t="str">
        <x:v>Screenshot_BR-ADM-020.png</x:v>
      </x:c>
      <x:c r="R21" s="15" t="str"/>
    </x:row>
    <x:row r="22">
      <x:c r="A22" s="15" t="str">
        <x:v>BR-ADM-021</x:v>
      </x:c>
      <x:c r="B22" s="15" t="str">
        <x:v>RQ-ADM-021</x:v>
      </x:c>
      <x:c r="C22" s="15" t="str">
        <x:v>TS-ADM-021</x:v>
      </x:c>
      <x:c r="D22" s="15" t="str">
        <x:v>TC-ADM-021</x:v>
      </x:c>
      <x:c r="E22" s="15" t="str">
        <x:v>Fee Payment</x:v>
      </x:c>
      <x:c r="F22" s="15" t="str">
        <x:v>Admission fee receipt not generated after successful payment</x:v>
      </x:c>
      <x:c r="G22" s="15" t="str">
        <x:v>Make successful payment &gt; open receipt section</x:v>
      </x:c>
      <x:c r="H22" s="15" t="str">
        <x:v>Receipt should be generated with transaction details.</x:v>
      </x:c>
      <x:c r="I22" s="15" t="str">
        <x:v>Receipt is not generated.</x:v>
      </x:c>
      <x:c r="J22" s="15" t="str">
        <x:v>Critical</x:v>
      </x:c>
      <x:c r="K22" s="15" t="str">
        <x:v>P1</x:v>
      </x:c>
      <x:c r="L22" s="15" t="str">
        <x:v>QA - Chrome 126 / Windows 10</x:v>
      </x:c>
      <x:c r="M22" s="15" t="str">
        <x:v>Open</x:v>
      </x:c>
      <x:c r="N22" s="15" t="str">
        <x:v>Aditya Singh</x:v>
      </x:c>
      <x:c r="O22" s="15" t="str">
        <x:v>Admission Module Dev</x:v>
      </x:c>
      <x:c r="P22" s="18" t="n">
        <x:v>46206</x:v>
      </x:c>
      <x:c r="Q22" s="15" t="str">
        <x:v>Screenshot_BR-ADM-021.png</x:v>
      </x:c>
      <x:c r="R22" s="15" t="str"/>
    </x:row>
    <x:row r="23">
      <x:c r="A23" s="15" t="str">
        <x:v>BR-ADM-022</x:v>
      </x:c>
      <x:c r="B23" s="15" t="str">
        <x:v>RQ-ADM-022</x:v>
      </x:c>
      <x:c r="C23" s="15" t="str">
        <x:v>TS-ADM-022</x:v>
      </x:c>
      <x:c r="D23" s="15" t="str">
        <x:v>TC-ADM-022</x:v>
      </x:c>
      <x:c r="E23" s="15" t="str">
        <x:v>Fee Payment</x:v>
      </x:c>
      <x:c r="F23" s="15" t="str">
        <x:v>Payment status remains Pending after successful transaction</x:v>
      </x:c>
      <x:c r="G23" s="15" t="str">
        <x:v>Complete payment using valid transaction &gt; refresh admission record</x:v>
      </x:c>
      <x:c r="H23" s="15" t="str">
        <x:v>Payment status should show Paid.</x:v>
      </x:c>
      <x:c r="I23" s="15" t="str">
        <x:v>Status remains Pending.</x:v>
      </x:c>
      <x:c r="J23" s="15" t="str">
        <x:v>Critical</x:v>
      </x:c>
      <x:c r="K23" s="15" t="str">
        <x:v>P1</x:v>
      </x:c>
      <x:c r="L23" s="15" t="str">
        <x:v>QA - Edge / Windows 10</x:v>
      </x:c>
      <x:c r="M23" s="15" t="str">
        <x:v>In Progress</x:v>
      </x:c>
      <x:c r="N23" s="15" t="str">
        <x:v>Aditya Singh</x:v>
      </x:c>
      <x:c r="O23" s="15" t="str">
        <x:v>Backend Team</x:v>
      </x:c>
      <x:c r="P23" s="18" t="n">
        <x:v>46207</x:v>
      </x:c>
      <x:c r="Q23" s="15" t="str">
        <x:v>Screenshot_BR-ADM-022.png</x:v>
      </x:c>
      <x:c r="R23" s="15" t="str"/>
    </x:row>
    <x:row r="24">
      <x:c r="A24" s="15" t="str">
        <x:v>BR-ADM-023</x:v>
      </x:c>
      <x:c r="B24" s="15" t="str">
        <x:v>RQ-ADM-023</x:v>
      </x:c>
      <x:c r="C24" s="15" t="str">
        <x:v>TS-ADM-023</x:v>
      </x:c>
      <x:c r="D24" s="15" t="str">
        <x:v>TC-ADM-023</x:v>
      </x:c>
      <x:c r="E24" s="15" t="str">
        <x:v>Fee Payment</x:v>
      </x:c>
      <x:c r="F24" s="15" t="str">
        <x:v>Partial payment incorrectly marks admission fee as fully paid</x:v>
      </x:c>
      <x:c r="G24" s="15" t="str">
        <x:v>Pay partial fee amount &gt; check fee status</x:v>
      </x:c>
      <x:c r="H24" s="15" t="str">
        <x:v>Fee status should show Partially Paid.</x:v>
      </x:c>
      <x:c r="I24" s="15" t="str">
        <x:v>System marks fee as Fully Paid.</x:v>
      </x:c>
      <x:c r="J24" s="15" t="str">
        <x:v>High</x:v>
      </x:c>
      <x:c r="K24" s="15" t="str">
        <x:v>P1</x:v>
      </x:c>
      <x:c r="L24" s="15" t="str">
        <x:v>QA - Firefox / Windows 10</x:v>
      </x:c>
      <x:c r="M24" s="15" t="str">
        <x:v>In Progress</x:v>
      </x:c>
      <x:c r="N24" s="15" t="str">
        <x:v>Aditya Singh</x:v>
      </x:c>
      <x:c r="O24" s="15" t="str">
        <x:v>UI Team</x:v>
      </x:c>
      <x:c r="P24" s="18" t="n">
        <x:v>46208</x:v>
      </x:c>
      <x:c r="Q24" s="15" t="str">
        <x:v>Screenshot_BR-ADM-023.png</x:v>
      </x:c>
      <x:c r="R24" s="15" t="str"/>
    </x:row>
    <x:row r="25">
      <x:c r="A25" s="15" t="str">
        <x:v>BR-ADM-024</x:v>
      </x:c>
      <x:c r="B25" s="15" t="str">
        <x:v>RQ-ADM-024</x:v>
      </x:c>
      <x:c r="C25" s="15" t="str">
        <x:v>TS-ADM-024</x:v>
      </x:c>
      <x:c r="D25" s="15" t="str">
        <x:v>TC-ADM-024</x:v>
      </x:c>
      <x:c r="E25" s="15" t="str">
        <x:v>Fee Payment</x:v>
      </x:c>
      <x:c r="F25" s="15" t="str">
        <x:v>Discount amount not reflected in total payable amount</x:v>
      </x:c>
      <x:c r="G25" s="15" t="str">
        <x:v>Apply approved discount &gt; check payable amount</x:v>
      </x:c>
      <x:c r="H25" s="15" t="str">
        <x:v>Total payable should deduct discount amount.</x:v>
      </x:c>
      <x:c r="I25" s="15" t="str">
        <x:v>Payable amount remains unchanged.</x:v>
      </x:c>
      <x:c r="J25" s="15" t="str">
        <x:v>High</x:v>
      </x:c>
      <x:c r="K25" s="15" t="str">
        <x:v>P1</x:v>
      </x:c>
      <x:c r="L25" s="15" t="str">
        <x:v>UAT - Chrome / Windows 11</x:v>
      </x:c>
      <x:c r="M25" s="15" t="str">
        <x:v>Closed</x:v>
      </x:c>
      <x:c r="N25" s="15" t="str">
        <x:v>Aditya Singh</x:v>
      </x:c>
      <x:c r="O25" s="15" t="str">
        <x:v>QA Retest Team</x:v>
      </x:c>
      <x:c r="P25" s="18" t="n">
        <x:v>46209</x:v>
      </x:c>
      <x:c r="Q25" s="15" t="str">
        <x:v>Screenshot_BR-ADM-024.png</x:v>
      </x:c>
      <x:c r="R25" s="15" t="str"/>
    </x:row>
    <x:row r="26">
      <x:c r="A26" s="15" t="str">
        <x:v>BR-ADM-025</x:v>
      </x:c>
      <x:c r="B26" s="15" t="str">
        <x:v>RQ-ADM-025</x:v>
      </x:c>
      <x:c r="C26" s="15" t="str">
        <x:v>TS-ADM-025</x:v>
      </x:c>
      <x:c r="D26" s="15" t="str">
        <x:v>TC-ADM-025</x:v>
      </x:c>
      <x:c r="E26" s="15" t="str">
        <x:v>Fee Payment</x:v>
      </x:c>
      <x:c r="F26" s="15" t="str">
        <x:v>Cancelled transaction visible as successful in payment history</x:v>
      </x:c>
      <x:c r="G26" s="15" t="str">
        <x:v>Cancel payment at gateway &gt; return to ERP &gt; check history</x:v>
      </x:c>
      <x:c r="H26" s="15" t="str">
        <x:v>Cancelled transaction should show Failed/Cancelled.</x:v>
      </x:c>
      <x:c r="I26" s="15" t="str">
        <x:v>Cancelled transaction shows Success.</x:v>
      </x:c>
      <x:c r="J26" s="15" t="str">
        <x:v>Critical</x:v>
      </x:c>
      <x:c r="K26" s="15" t="str">
        <x:v>P1</x:v>
      </x:c>
      <x:c r="L26" s="15" t="str">
        <x:v>QA - Mobile Responsive</x:v>
      </x:c>
      <x:c r="M26" s="15" t="str">
        <x:v>Open</x:v>
      </x:c>
      <x:c r="N26" s="15" t="str">
        <x:v>Aditya Singh</x:v>
      </x:c>
      <x:c r="O26" s="15" t="str">
        <x:v>Dev Team A</x:v>
      </x:c>
      <x:c r="P26" s="18" t="n">
        <x:v>46210</x:v>
      </x:c>
      <x:c r="Q26" s="15" t="str">
        <x:v>Screenshot_BR-ADM-025.png</x:v>
      </x:c>
      <x:c r="R26" s="15" t="str"/>
    </x:row>
    <x:row r="27">
      <x:c r="A27" s="15" t="str">
        <x:v>BR-ADM-026</x:v>
      </x:c>
      <x:c r="B27" s="15" t="str">
        <x:v>RQ-ADM-001</x:v>
      </x:c>
      <x:c r="C27" s="15" t="str">
        <x:v>TS-ADM-026</x:v>
      </x:c>
      <x:c r="D27" s="15" t="str">
        <x:v>TC-ADM-026</x:v>
      </x:c>
      <x:c r="E27" s="15" t="str">
        <x:v>Admission Approval</x:v>
      </x:c>
      <x:c r="F27" s="15" t="str">
        <x:v>Admission can be approved without mandatory documents</x:v>
      </x:c>
      <x:c r="G27" s="15" t="str">
        <x:v>Create admission record with missing document &gt; approve</x:v>
      </x:c>
      <x:c r="H27" s="15" t="str">
        <x:v>System should block approval until mandatory documents are uploaded/verified.</x:v>
      </x:c>
      <x:c r="I27" s="15" t="str">
        <x:v>Admission approved without required documents.</x:v>
      </x:c>
      <x:c r="J27" s="15" t="str">
        <x:v>Critical</x:v>
      </x:c>
      <x:c r="K27" s="15" t="str">
        <x:v>P1</x:v>
      </x:c>
      <x:c r="L27" s="15" t="str">
        <x:v>QA - Chrome 126 / Windows 10</x:v>
      </x:c>
      <x:c r="M27" s="15" t="str">
        <x:v>In Progress</x:v>
      </x:c>
      <x:c r="N27" s="15" t="str">
        <x:v>Aditya Singh</x:v>
      </x:c>
      <x:c r="O27" s="15" t="str">
        <x:v>Dev Team B</x:v>
      </x:c>
      <x:c r="P27" s="18" t="n">
        <x:v>46211</x:v>
      </x:c>
      <x:c r="Q27" s="15" t="str">
        <x:v>Screenshot_BR-ADM-026.png</x:v>
      </x:c>
      <x:c r="R27" s="15" t="str"/>
    </x:row>
    <x:row r="28">
      <x:c r="A28" s="15" t="str">
        <x:v>BR-ADM-027</x:v>
      </x:c>
      <x:c r="B28" s="15" t="str">
        <x:v>RQ-ADM-002</x:v>
      </x:c>
      <x:c r="C28" s="15" t="str">
        <x:v>TS-ADM-027</x:v>
      </x:c>
      <x:c r="D28" s="15" t="str">
        <x:v>TC-ADM-027</x:v>
      </x:c>
      <x:c r="E28" s="15" t="str">
        <x:v>Admission Approval</x:v>
      </x:c>
      <x:c r="F28" s="15" t="str">
        <x:v>Rejected admission record still appears in active student list</x:v>
      </x:c>
      <x:c r="G28" s="15" t="str">
        <x:v>Reject application &gt; open active student list</x:v>
      </x:c>
      <x:c r="H28" s="15" t="str">
        <x:v>Rejected applicants should not appear as active students.</x:v>
      </x:c>
      <x:c r="I28" s="15" t="str">
        <x:v>Rejected record appears in active list.</x:v>
      </x:c>
      <x:c r="J28" s="15" t="str">
        <x:v>High</x:v>
      </x:c>
      <x:c r="K28" s="15" t="str">
        <x:v>P1</x:v>
      </x:c>
      <x:c r="L28" s="15" t="str">
        <x:v>QA - Edge / Windows 10</x:v>
      </x:c>
      <x:c r="M28" s="15" t="str">
        <x:v>In Progress</x:v>
      </x:c>
      <x:c r="N28" s="15" t="str">
        <x:v>Aditya Singh</x:v>
      </x:c>
      <x:c r="O28" s="15" t="str">
        <x:v>Admission Module Dev</x:v>
      </x:c>
      <x:c r="P28" s="18" t="n">
        <x:v>46212</x:v>
      </x:c>
      <x:c r="Q28" s="15" t="str">
        <x:v>Screenshot_BR-ADM-027.png</x:v>
      </x:c>
      <x:c r="R28" s="15" t="str"/>
    </x:row>
    <x:row r="29">
      <x:c r="A29" s="15" t="str">
        <x:v>BR-ADM-028</x:v>
      </x:c>
      <x:c r="B29" s="15" t="str">
        <x:v>RQ-ADM-003</x:v>
      </x:c>
      <x:c r="C29" s="15" t="str">
        <x:v>TS-ADM-028</x:v>
      </x:c>
      <x:c r="D29" s="15" t="str">
        <x:v>TC-ADM-028</x:v>
      </x:c>
      <x:c r="E29" s="15" t="str">
        <x:v>Admission Approval</x:v>
      </x:c>
      <x:c r="F29" s="15" t="str">
        <x:v>Approval remarks not saved after final approval</x:v>
      </x:c>
      <x:c r="G29" s="15" t="str">
        <x:v>Enter remarks during approval &gt; submit &gt; reopen approval history</x:v>
      </x:c>
      <x:c r="H29" s="15" t="str">
        <x:v>Remarks should be saved in approval history.</x:v>
      </x:c>
      <x:c r="I29" s="15" t="str">
        <x:v>Remarks field is blank after approval.</x:v>
      </x:c>
      <x:c r="J29" s="15" t="str">
        <x:v>Medium</x:v>
      </x:c>
      <x:c r="K29" s="15" t="str">
        <x:v>P2</x:v>
      </x:c>
      <x:c r="L29" s="15" t="str">
        <x:v>QA - Firefox / Windows 10</x:v>
      </x:c>
      <x:c r="M29" s="15" t="str">
        <x:v>Closed</x:v>
      </x:c>
      <x:c r="N29" s="15" t="str">
        <x:v>Aditya Singh</x:v>
      </x:c>
      <x:c r="O29" s="15" t="str">
        <x:v>Backend Team</x:v>
      </x:c>
      <x:c r="P29" s="18" t="n">
        <x:v>46213</x:v>
      </x:c>
      <x:c r="Q29" s="15" t="str">
        <x:v>Screenshot_BR-ADM-028.png</x:v>
      </x:c>
      <x:c r="R29" s="15" t="str"/>
    </x:row>
    <x:row r="30">
      <x:c r="A30" s="15" t="str">
        <x:v>BR-ADM-029</x:v>
      </x:c>
      <x:c r="B30" s="15" t="str">
        <x:v>RQ-ADM-004</x:v>
      </x:c>
      <x:c r="C30" s="15" t="str">
        <x:v>TS-ADM-029</x:v>
      </x:c>
      <x:c r="D30" s="15" t="str">
        <x:v>TC-ADM-029</x:v>
      </x:c>
      <x:c r="E30" s="15" t="str">
        <x:v>Admission Approval</x:v>
      </x:c>
      <x:c r="F30" s="15" t="str">
        <x:v>Unauthorized user can approve admission request</x:v>
      </x:c>
      <x:c r="G30" s="15" t="str">
        <x:v>Login as counselor role &gt; open approval page &gt; approve record</x:v>
      </x:c>
      <x:c r="H30" s="15" t="str">
        <x:v>Only authorized role should approve admission.</x:v>
      </x:c>
      <x:c r="I30" s="15" t="str">
        <x:v>Counselor is able to approve admission.</x:v>
      </x:c>
      <x:c r="J30" s="15" t="str">
        <x:v>Critical</x:v>
      </x:c>
      <x:c r="K30" s="15" t="str">
        <x:v>P1</x:v>
      </x:c>
      <x:c r="L30" s="15" t="str">
        <x:v>UAT - Chrome / Windows 11</x:v>
      </x:c>
      <x:c r="M30" s="15" t="str">
        <x:v>Open</x:v>
      </x:c>
      <x:c r="N30" s="15" t="str">
        <x:v>Aditya Singh</x:v>
      </x:c>
      <x:c r="O30" s="15" t="str">
        <x:v>UI Team</x:v>
      </x:c>
      <x:c r="P30" s="18" t="n">
        <x:v>46214</x:v>
      </x:c>
      <x:c r="Q30" s="15" t="str">
        <x:v>Screenshot_BR-ADM-029.png</x:v>
      </x:c>
      <x:c r="R30" s="15" t="str"/>
    </x:row>
    <x:row r="31">
      <x:c r="A31" s="15" t="str">
        <x:v>BR-ADM-030</x:v>
      </x:c>
      <x:c r="B31" s="15" t="str">
        <x:v>RQ-ADM-005</x:v>
      </x:c>
      <x:c r="C31" s="15" t="str">
        <x:v>TS-ADM-030</x:v>
      </x:c>
      <x:c r="D31" s="15" t="str">
        <x:v>TC-ADM-030</x:v>
      </x:c>
      <x:c r="E31" s="15" t="str">
        <x:v>Admission Approval</x:v>
      </x:c>
      <x:c r="F31" s="15" t="str">
        <x:v>Admission status not updated after final approval</x:v>
      </x:c>
      <x:c r="G31" s="15" t="str">
        <x:v>Approve admission &gt; check applicant status</x:v>
      </x:c>
      <x:c r="H31" s="15" t="str">
        <x:v>Status should update to Approved/Admitted.</x:v>
      </x:c>
      <x:c r="I31" s="15" t="str">
        <x:v>Status remains Submitted.</x:v>
      </x:c>
      <x:c r="J31" s="15" t="str">
        <x:v>High</x:v>
      </x:c>
      <x:c r="K31" s="15" t="str">
        <x:v>P1</x:v>
      </x:c>
      <x:c r="L31" s="15" t="str">
        <x:v>QA - Mobile Responsive</x:v>
      </x:c>
      <x:c r="M31" s="15" t="str">
        <x:v>Closed</x:v>
      </x:c>
      <x:c r="N31" s="15" t="str">
        <x:v>Aditya Singh</x:v>
      </x:c>
      <x:c r="O31" s="15" t="str">
        <x:v>QA Retest Team</x:v>
      </x:c>
      <x:c r="P31" s="18" t="n">
        <x:v>46215</x:v>
      </x:c>
      <x:c r="Q31" s="15" t="str">
        <x:v>Screenshot_BR-ADM-030.png</x:v>
      </x:c>
      <x:c r="R31" s="15" t="str"/>
    </x:row>
    <x:row r="32">
      <x:c r="A32" s="15" t="str">
        <x:v>BR-ADM-031</x:v>
      </x:c>
      <x:c r="B32" s="15" t="str">
        <x:v>RQ-ADM-006</x:v>
      </x:c>
      <x:c r="C32" s="15" t="str">
        <x:v>TS-ADM-031</x:v>
      </x:c>
      <x:c r="D32" s="15" t="str">
        <x:v>TC-ADM-031</x:v>
      </x:c>
      <x:c r="E32" s="15" t="str">
        <x:v>Student Profile</x:v>
      </x:c>
      <x:c r="F32" s="15" t="str">
        <x:v>Student profile not created after admission approval</x:v>
      </x:c>
      <x:c r="G32" s="15" t="str">
        <x:v>Approve admission &gt; open Student Profile search</x:v>
      </x:c>
      <x:c r="H32" s="15" t="str">
        <x:v>Student profile should be auto-created after approval.</x:v>
      </x:c>
      <x:c r="I32" s="15" t="str">
        <x:v>Approved student profile is not found.</x:v>
      </x:c>
      <x:c r="J32" s="15" t="str">
        <x:v>Critical</x:v>
      </x:c>
      <x:c r="K32" s="15" t="str">
        <x:v>P1</x:v>
      </x:c>
      <x:c r="L32" s="15" t="str">
        <x:v>QA - Chrome 126 / Windows 10</x:v>
      </x:c>
      <x:c r="M32" s="15" t="str">
        <x:v>Retest</x:v>
      </x:c>
      <x:c r="N32" s="15" t="str">
        <x:v>Aditya Singh</x:v>
      </x:c>
      <x:c r="O32" s="15" t="str">
        <x:v>Dev Team A</x:v>
      </x:c>
      <x:c r="P32" s="18" t="n">
        <x:v>46216</x:v>
      </x:c>
      <x:c r="Q32" s="15" t="str">
        <x:v>Screenshot_BR-ADM-031.png</x:v>
      </x:c>
      <x:c r="R32" s="15" t="str">
        <x:v>Retest required after fix</x:v>
      </x:c>
    </x:row>
    <x:row r="33">
      <x:c r="A33" s="15" t="str">
        <x:v>BR-ADM-032</x:v>
      </x:c>
      <x:c r="B33" s="15" t="str">
        <x:v>RQ-ADM-007</x:v>
      </x:c>
      <x:c r="C33" s="15" t="str">
        <x:v>TS-ADM-032</x:v>
      </x:c>
      <x:c r="D33" s="15" t="str">
        <x:v>TC-ADM-032</x:v>
      </x:c>
      <x:c r="E33" s="15" t="str">
        <x:v>Student Profile</x:v>
      </x:c>
      <x:c r="F33" s="15" t="str">
        <x:v>Student photo not displayed on profile after upload</x:v>
      </x:c>
      <x:c r="G33" s="15" t="str">
        <x:v>Upload applicant photo &gt; approve admission &gt; open profile</x:v>
      </x:c>
      <x:c r="H33" s="15" t="str">
        <x:v>Photo should display in student profile.</x:v>
      </x:c>
      <x:c r="I33" s="15" t="str">
        <x:v>Photo section displays broken image icon.</x:v>
      </x:c>
      <x:c r="J33" s="15" t="str">
        <x:v>Medium</x:v>
      </x:c>
      <x:c r="K33" s="15" t="str">
        <x:v>P2</x:v>
      </x:c>
      <x:c r="L33" s="15" t="str">
        <x:v>QA - Edge / Windows 10</x:v>
      </x:c>
      <x:c r="M33" s="15" t="str">
        <x:v>Closed</x:v>
      </x:c>
      <x:c r="N33" s="15" t="str">
        <x:v>Aditya Singh</x:v>
      </x:c>
      <x:c r="O33" s="15" t="str">
        <x:v>Dev Team B</x:v>
      </x:c>
      <x:c r="P33" s="18" t="n">
        <x:v>46217</x:v>
      </x:c>
      <x:c r="Q33" s="15" t="str">
        <x:v>Screenshot_BR-ADM-032.png</x:v>
      </x:c>
      <x:c r="R33" s="15" t="str"/>
    </x:row>
    <x:row r="34">
      <x:c r="A34" s="15" t="str">
        <x:v>BR-ADM-033</x:v>
      </x:c>
      <x:c r="B34" s="15" t="str">
        <x:v>RQ-ADM-008</x:v>
      </x:c>
      <x:c r="C34" s="15" t="str">
        <x:v>TS-ADM-033</x:v>
      </x:c>
      <x:c r="D34" s="15" t="str">
        <x:v>TC-ADM-033</x:v>
      </x:c>
      <x:c r="E34" s="15" t="str">
        <x:v>Student Profile</x:v>
      </x:c>
      <x:c r="F34" s="15" t="str">
        <x:v>Permanent and correspondence address values swapped</x:v>
      </x:c>
      <x:c r="G34" s="15" t="str">
        <x:v>Enter different addresses &gt; save &gt; open profile</x:v>
      </x:c>
      <x:c r="H34" s="15" t="str">
        <x:v>Each address should display in correct section.</x:v>
      </x:c>
      <x:c r="I34" s="15" t="str">
        <x:v>Permanent address shown under correspondence address.</x:v>
      </x:c>
      <x:c r="J34" s="15" t="str">
        <x:v>Medium</x:v>
      </x:c>
      <x:c r="K34" s="15" t="str">
        <x:v>P2</x:v>
      </x:c>
      <x:c r="L34" s="15" t="str">
        <x:v>QA - Firefox / Windows 10</x:v>
      </x:c>
      <x:c r="M34" s="15" t="str">
        <x:v>In Progress</x:v>
      </x:c>
      <x:c r="N34" s="15" t="str">
        <x:v>Aditya Singh</x:v>
      </x:c>
      <x:c r="O34" s="15" t="str">
        <x:v>Admission Module Dev</x:v>
      </x:c>
      <x:c r="P34" s="18" t="n">
        <x:v>46218</x:v>
      </x:c>
      <x:c r="Q34" s="15" t="str">
        <x:v>Screenshot_BR-ADM-033.png</x:v>
      </x:c>
      <x:c r="R34" s="15" t="str"/>
    </x:row>
    <x:row r="35">
      <x:c r="A35" s="15" t="str">
        <x:v>BR-ADM-034</x:v>
      </x:c>
      <x:c r="B35" s="15" t="str">
        <x:v>RQ-ADM-009</x:v>
      </x:c>
      <x:c r="C35" s="15" t="str">
        <x:v>TS-ADM-034</x:v>
      </x:c>
      <x:c r="D35" s="15" t="str">
        <x:v>TC-ADM-034</x:v>
      </x:c>
      <x:c r="E35" s="15" t="str">
        <x:v>Notifications</x:v>
      </x:c>
      <x:c r="F35" s="15" t="str">
        <x:v>Admission confirmation SMS not triggered after approval</x:v>
      </x:c>
      <x:c r="G35" s="15" t="str">
        <x:v>Approve admission with valid mobile number</x:v>
      </x:c>
      <x:c r="H35" s="15" t="str">
        <x:v>System should send admission confirmation SMS.</x:v>
      </x:c>
      <x:c r="I35" s="15" t="str">
        <x:v>No SMS notification is triggered.</x:v>
      </x:c>
      <x:c r="J35" s="15" t="str">
        <x:v>Medium</x:v>
      </x:c>
      <x:c r="K35" s="15" t="str">
        <x:v>P2</x:v>
      </x:c>
      <x:c r="L35" s="15" t="str">
        <x:v>UAT - Chrome / Windows 11</x:v>
      </x:c>
      <x:c r="M35" s="15" t="str">
        <x:v>Closed</x:v>
      </x:c>
      <x:c r="N35" s="15" t="str">
        <x:v>Aditya Singh</x:v>
      </x:c>
      <x:c r="O35" s="15" t="str">
        <x:v>Backend Team</x:v>
      </x:c>
      <x:c r="P35" s="18" t="n">
        <x:v>46219</x:v>
      </x:c>
      <x:c r="Q35" s="15" t="str">
        <x:v>Screenshot_BR-ADM-034.png</x:v>
      </x:c>
      <x:c r="R35" s="15" t="str"/>
    </x:row>
    <x:row r="36">
      <x:c r="A36" s="15" t="str">
        <x:v>BR-ADM-035</x:v>
      </x:c>
      <x:c r="B36" s="15" t="str">
        <x:v>RQ-ADM-010</x:v>
      </x:c>
      <x:c r="C36" s="15" t="str">
        <x:v>TS-ADM-035</x:v>
      </x:c>
      <x:c r="D36" s="15" t="str">
        <x:v>TC-ADM-035</x:v>
      </x:c>
      <x:c r="E36" s="15" t="str">
        <x:v>Notifications</x:v>
      </x:c>
      <x:c r="F36" s="15" t="str">
        <x:v>Email notification sent with wrong course name</x:v>
      </x:c>
      <x:c r="G36" s="15" t="str">
        <x:v>Approve admission for MBA &gt; check confirmation email</x:v>
      </x:c>
      <x:c r="H36" s="15" t="str">
        <x:v>Email should contain selected course name.</x:v>
      </x:c>
      <x:c r="I36" s="15" t="str">
        <x:v>Email shows different course name.</x:v>
      </x:c>
      <x:c r="J36" s="15" t="str">
        <x:v>High</x:v>
      </x:c>
      <x:c r="K36" s="15" t="str">
        <x:v>P1</x:v>
      </x:c>
      <x:c r="L36" s="15" t="str">
        <x:v>QA - Mobile Responsive</x:v>
      </x:c>
      <x:c r="M36" s="15" t="str">
        <x:v>In Progress</x:v>
      </x:c>
      <x:c r="N36" s="15" t="str">
        <x:v>Aditya Singh</x:v>
      </x:c>
      <x:c r="O36" s="15" t="str">
        <x:v>UI Team</x:v>
      </x:c>
      <x:c r="P36" s="18" t="n">
        <x:v>46220</x:v>
      </x:c>
      <x:c r="Q36" s="15" t="str">
        <x:v>Screenshot_BR-ADM-035.png</x:v>
      </x:c>
      <x:c r="R36" s="15" t="str"/>
    </x:row>
    <x:row r="37">
      <x:c r="A37" s="15" t="str">
        <x:v>BR-ADM-036</x:v>
      </x:c>
      <x:c r="B37" s="15" t="str">
        <x:v>RQ-ADM-011</x:v>
      </x:c>
      <x:c r="C37" s="15" t="str">
        <x:v>TS-ADM-036</x:v>
      </x:c>
      <x:c r="D37" s="15" t="str">
        <x:v>TC-ADM-036</x:v>
      </x:c>
      <x:c r="E37" s="15" t="str">
        <x:v>Notifications</x:v>
      </x:c>
      <x:c r="F37" s="15" t="str">
        <x:v>Duplicate notification generated for single payment</x:v>
      </x:c>
      <x:c r="G37" s="15" t="str">
        <x:v>Make one payment &gt; check notifications</x:v>
      </x:c>
      <x:c r="H37" s="15" t="str">
        <x:v>Only one payment confirmation notification should be generated.</x:v>
      </x:c>
      <x:c r="I37" s="15" t="str">
        <x:v>Two duplicate notifications are generated.</x:v>
      </x:c>
      <x:c r="J37" s="15" t="str">
        <x:v>Low</x:v>
      </x:c>
      <x:c r="K37" s="15" t="str">
        <x:v>P3</x:v>
      </x:c>
      <x:c r="L37" s="15" t="str">
        <x:v>QA - Chrome 126 / Windows 10</x:v>
      </x:c>
      <x:c r="M37" s="15" t="str">
        <x:v>Closed</x:v>
      </x:c>
      <x:c r="N37" s="15" t="str">
        <x:v>Aditya Singh</x:v>
      </x:c>
      <x:c r="O37" s="15" t="str">
        <x:v>QA Retest Team</x:v>
      </x:c>
      <x:c r="P37" s="18" t="n">
        <x:v>46221</x:v>
      </x:c>
      <x:c r="Q37" s="15" t="str">
        <x:v>Screenshot_BR-ADM-036.png</x:v>
      </x:c>
      <x:c r="R37" s="15" t="str"/>
    </x:row>
    <x:row r="38">
      <x:c r="A38" s="15" t="str">
        <x:v>BR-ADM-037</x:v>
      </x:c>
      <x:c r="B38" s="15" t="str">
        <x:v>RQ-ADM-012</x:v>
      </x:c>
      <x:c r="C38" s="15" t="str">
        <x:v>TS-ADM-037</x:v>
      </x:c>
      <x:c r="D38" s="15" t="str">
        <x:v>TC-ADM-037</x:v>
      </x:c>
      <x:c r="E38" s="15" t="str">
        <x:v>Reports</x:v>
      </x:c>
      <x:c r="F38" s="15" t="str">
        <x:v>Admission report count does not match admission list</x:v>
      </x:c>
      <x:c r="G38" s="15" t="str">
        <x:v>Generate admission report &gt; compare with admission list count</x:v>
      </x:c>
      <x:c r="H38" s="15" t="str">
        <x:v>Report count should match filtered admission records.</x:v>
      </x:c>
      <x:c r="I38" s="15" t="str">
        <x:v>Report count differs from admission list.</x:v>
      </x:c>
      <x:c r="J38" s="15" t="str">
        <x:v>High</x:v>
      </x:c>
      <x:c r="K38" s="15" t="str">
        <x:v>P2</x:v>
      </x:c>
      <x:c r="L38" s="15" t="str">
        <x:v>QA - Edge / Windows 10</x:v>
      </x:c>
      <x:c r="M38" s="15" t="str">
        <x:v>In Progress</x:v>
      </x:c>
      <x:c r="N38" s="15" t="str">
        <x:v>Aditya Singh</x:v>
      </x:c>
      <x:c r="O38" s="15" t="str">
        <x:v>Dev Team A</x:v>
      </x:c>
      <x:c r="P38" s="18" t="n">
        <x:v>46204</x:v>
      </x:c>
      <x:c r="Q38" s="15" t="str">
        <x:v>Screenshot_BR-ADM-037.png</x:v>
      </x:c>
      <x:c r="R38" s="15" t="str"/>
    </x:row>
    <x:row r="39">
      <x:c r="A39" s="15" t="str">
        <x:v>BR-ADM-038</x:v>
      </x:c>
      <x:c r="B39" s="15" t="str">
        <x:v>RQ-ADM-013</x:v>
      </x:c>
      <x:c r="C39" s="15" t="str">
        <x:v>TS-ADM-038</x:v>
      </x:c>
      <x:c r="D39" s="15" t="str">
        <x:v>TC-ADM-038</x:v>
      </x:c>
      <x:c r="E39" s="15" t="str">
        <x:v>Reports</x:v>
      </x:c>
      <x:c r="F39" s="15" t="str">
        <x:v>Export to Excel missing payment status column</x:v>
      </x:c>
      <x:c r="G39" s="15" t="str">
        <x:v>Generate admission report &gt; export Excel</x:v>
      </x:c>
      <x:c r="H39" s="15" t="str">
        <x:v>Exported report should include all visible columns.</x:v>
      </x:c>
      <x:c r="I39" s="15" t="str">
        <x:v>Payment Status column missing in export.</x:v>
      </x:c>
      <x:c r="J39" s="15" t="str">
        <x:v>Medium</x:v>
      </x:c>
      <x:c r="K39" s="15" t="str">
        <x:v>P2</x:v>
      </x:c>
      <x:c r="L39" s="15" t="str">
        <x:v>QA - Firefox / Windows 10</x:v>
      </x:c>
      <x:c r="M39" s="15" t="str">
        <x:v>Closed</x:v>
      </x:c>
      <x:c r="N39" s="15" t="str">
        <x:v>Aditya Singh</x:v>
      </x:c>
      <x:c r="O39" s="15" t="str">
        <x:v>Dev Team B</x:v>
      </x:c>
      <x:c r="P39" s="18" t="n">
        <x:v>46205</x:v>
      </x:c>
      <x:c r="Q39" s="15" t="str">
        <x:v>Screenshot_BR-ADM-038.png</x:v>
      </x:c>
      <x:c r="R39" s="15" t="str"/>
    </x:row>
    <x:row r="40">
      <x:c r="A40" s="15" t="str">
        <x:v>BR-ADM-039</x:v>
      </x:c>
      <x:c r="B40" s="15" t="str">
        <x:v>RQ-ADM-014</x:v>
      </x:c>
      <x:c r="C40" s="15" t="str">
        <x:v>TS-ADM-039</x:v>
      </x:c>
      <x:c r="D40" s="15" t="str">
        <x:v>TC-ADM-039</x:v>
      </x:c>
      <x:c r="E40" s="15" t="str">
        <x:v>Reports</x:v>
      </x:c>
      <x:c r="F40" s="15" t="str">
        <x:v>Date filter includes records outside selected range</x:v>
      </x:c>
      <x:c r="G40" s="15" t="str">
        <x:v>Apply date range filter in admission report</x:v>
      </x:c>
      <x:c r="H40" s="15" t="str">
        <x:v>Report should show records only within selected range.</x:v>
      </x:c>
      <x:c r="I40" s="15" t="str">
        <x:v>Records outside selected date range are displayed.</x:v>
      </x:c>
      <x:c r="J40" s="15" t="str">
        <x:v>Medium</x:v>
      </x:c>
      <x:c r="K40" s="15" t="str">
        <x:v>P2</x:v>
      </x:c>
      <x:c r="L40" s="15" t="str">
        <x:v>UAT - Chrome / Windows 11</x:v>
      </x:c>
      <x:c r="M40" s="15" t="str">
        <x:v>In Progress</x:v>
      </x:c>
      <x:c r="N40" s="15" t="str">
        <x:v>Aditya Singh</x:v>
      </x:c>
      <x:c r="O40" s="15" t="str">
        <x:v>Admission Module Dev</x:v>
      </x:c>
      <x:c r="P40" s="18" t="n">
        <x:v>46206</x:v>
      </x:c>
      <x:c r="Q40" s="15" t="str">
        <x:v>Screenshot_BR-ADM-039.png</x:v>
      </x:c>
      <x:c r="R40" s="15" t="str"/>
    </x:row>
    <x:row r="41">
      <x:c r="A41" s="15" t="str">
        <x:v>BR-ADM-040</x:v>
      </x:c>
      <x:c r="B41" s="15" t="str">
        <x:v>RQ-ADM-015</x:v>
      </x:c>
      <x:c r="C41" s="15" t="str">
        <x:v>TS-ADM-040</x:v>
      </x:c>
      <x:c r="D41" s="15" t="str">
        <x:v>TC-ADM-040</x:v>
      </x:c>
      <x:c r="E41" s="15" t="str">
        <x:v>Role &amp; Access</x:v>
      </x:c>
      <x:c r="F41" s="15" t="str">
        <x:v>Admission menu visible to unauthorized library role</x:v>
      </x:c>
      <x:c r="G41" s="15" t="str">
        <x:v>Login as Library role &gt; check menu access</x:v>
      </x:c>
      <x:c r="H41" s="15" t="str">
        <x:v>Admission menu should be hidden for unauthorized role.</x:v>
      </x:c>
      <x:c r="I41" s="15" t="str">
        <x:v>Admission menu is visible and accessible.</x:v>
      </x:c>
      <x:c r="J41" s="15" t="str">
        <x:v>High</x:v>
      </x:c>
      <x:c r="K41" s="15" t="str">
        <x:v>P1</x:v>
      </x:c>
      <x:c r="L41" s="15" t="str">
        <x:v>QA - Mobile Responsive</x:v>
      </x:c>
      <x:c r="M41" s="15" t="str">
        <x:v>Closed</x:v>
      </x:c>
      <x:c r="N41" s="15" t="str">
        <x:v>Aditya Singh</x:v>
      </x:c>
      <x:c r="O41" s="15" t="str">
        <x:v>Backend Team</x:v>
      </x:c>
      <x:c r="P41" s="18" t="n">
        <x:v>46207</x:v>
      </x:c>
      <x:c r="Q41" s="15" t="str">
        <x:v>Screenshot_BR-ADM-040.png</x:v>
      </x:c>
      <x:c r="R41" s="15" t="str"/>
    </x:row>
    <x:row r="42">
      <x:c r="A42" s="15" t="str">
        <x:v>BR-ADM-041</x:v>
      </x:c>
      <x:c r="B42" s="15" t="str">
        <x:v>RQ-ADM-016</x:v>
      </x:c>
      <x:c r="C42" s="15" t="str">
        <x:v>TS-ADM-041</x:v>
      </x:c>
      <x:c r="D42" s="15" t="str">
        <x:v>TC-ADM-041</x:v>
      </x:c>
      <x:c r="E42" s="15" t="str">
        <x:v>Role &amp; Access</x:v>
      </x:c>
      <x:c r="F42" s="15" t="str">
        <x:v>Read-only user can edit admission form</x:v>
      </x:c>
      <x:c r="G42" s="15" t="str">
        <x:v>Login as read-only role &gt; open admission record</x:v>
      </x:c>
      <x:c r="H42" s="15" t="str">
        <x:v>Read-only users should not be able to edit details.</x:v>
      </x:c>
      <x:c r="I42" s="15" t="str">
        <x:v>Edit and Save buttons are enabled.</x:v>
      </x:c>
      <x:c r="J42" s="15" t="str">
        <x:v>High</x:v>
      </x:c>
      <x:c r="K42" s="15" t="str">
        <x:v>P1</x:v>
      </x:c>
      <x:c r="L42" s="15" t="str">
        <x:v>QA - Chrome 126 / Windows 10</x:v>
      </x:c>
      <x:c r="M42" s="15" t="str">
        <x:v>In Progress</x:v>
      </x:c>
      <x:c r="N42" s="15" t="str">
        <x:v>Aditya Singh</x:v>
      </x:c>
      <x:c r="O42" s="15" t="str">
        <x:v>UI Team</x:v>
      </x:c>
      <x:c r="P42" s="18" t="n">
        <x:v>46208</x:v>
      </x:c>
      <x:c r="Q42" s="15" t="str">
        <x:v>Screenshot_BR-ADM-041.png</x:v>
      </x:c>
      <x:c r="R42" s="15" t="str"/>
    </x:row>
    <x:row r="43">
      <x:c r="A43" s="15" t="str">
        <x:v>BR-ADM-042</x:v>
      </x:c>
      <x:c r="B43" s="15" t="str">
        <x:v>RQ-ADM-017</x:v>
      </x:c>
      <x:c r="C43" s="15" t="str">
        <x:v>TS-ADM-042</x:v>
      </x:c>
      <x:c r="D43" s="15" t="str">
        <x:v>TC-ADM-042</x:v>
      </x:c>
      <x:c r="E43" s="15" t="str">
        <x:v>Role &amp; Access</x:v>
      </x:c>
      <x:c r="F43" s="15" t="str">
        <x:v>Counselor can view fee payment details without permission</x:v>
      </x:c>
      <x:c r="G43" s="15" t="str">
        <x:v>Login as counselor &gt; open payment details tab</x:v>
      </x:c>
      <x:c r="H43" s="15" t="str">
        <x:v>Fee payment details should be restricted if permission is not assigned.</x:v>
      </x:c>
      <x:c r="I43" s="15" t="str">
        <x:v>Counselor can view payment details.</x:v>
      </x:c>
      <x:c r="J43" s="15" t="str">
        <x:v>Medium</x:v>
      </x:c>
      <x:c r="K43" s="15" t="str">
        <x:v>P2</x:v>
      </x:c>
      <x:c r="L43" s="15" t="str">
        <x:v>QA - Edge / Windows 10</x:v>
      </x:c>
      <x:c r="M43" s="15" t="str">
        <x:v>Closed</x:v>
      </x:c>
      <x:c r="N43" s="15" t="str">
        <x:v>Aditya Singh</x:v>
      </x:c>
      <x:c r="O43" s="15" t="str">
        <x:v>QA Retest Team</x:v>
      </x:c>
      <x:c r="P43" s="18" t="n">
        <x:v>46209</x:v>
      </x:c>
      <x:c r="Q43" s="15" t="str">
        <x:v>Screenshot_BR-ADM-042.png</x:v>
      </x:c>
      <x:c r="R43" s="15" t="str"/>
    </x:row>
    <x:row r="44">
      <x:c r="A44" s="15" t="str">
        <x:v>BR-ADM-043</x:v>
      </x:c>
      <x:c r="B44" s="15" t="str">
        <x:v>RQ-ADM-018</x:v>
      </x:c>
      <x:c r="C44" s="15" t="str">
        <x:v>TS-ADM-043</x:v>
      </x:c>
      <x:c r="D44" s="15" t="str">
        <x:v>TC-ADM-043</x:v>
      </x:c>
      <x:c r="E44" s="15" t="str">
        <x:v>Student Registration</x:v>
      </x:c>
      <x:c r="F44" s="15" t="str">
        <x:v>Mandatory field validation not triggered for applicant first name during application edit flow</x:v>
      </x:c>
      <x:c r="G44" s="15" t="str">
        <x:v>Open registration form &gt; leave First Name blank &gt; fill other mandatory fields &gt; click Submit &gt; repeat scenario during application edit flow</x:v>
      </x:c>
      <x:c r="H44" s="15" t="str">
        <x:v>System should display mandatory validation message for First Name.</x:v>
      </x:c>
      <x:c r="I44" s="15" t="str">
        <x:v>Application allows user to proceed without First Name validation. Issue observed during application edit flow.</x:v>
      </x:c>
      <x:c r="J44" s="15" t="str">
        <x:v>High</x:v>
      </x:c>
      <x:c r="K44" s="15" t="str">
        <x:v>P1</x:v>
      </x:c>
      <x:c r="L44" s="15" t="str">
        <x:v>QA - Firefox / Windows 10</x:v>
      </x:c>
      <x:c r="M44" s="15" t="str">
        <x:v>In Progress</x:v>
      </x:c>
      <x:c r="N44" s="15" t="str">
        <x:v>Aditya Singh</x:v>
      </x:c>
      <x:c r="O44" s="15" t="str">
        <x:v>Dev Team A</x:v>
      </x:c>
      <x:c r="P44" s="18" t="n">
        <x:v>46210</x:v>
      </x:c>
      <x:c r="Q44" s="15" t="str">
        <x:v>Screenshot_BR-ADM-043.png</x:v>
      </x:c>
      <x:c r="R44" s="15" t="str"/>
    </x:row>
    <x:row r="45">
      <x:c r="A45" s="15" t="str">
        <x:v>BR-ADM-044</x:v>
      </x:c>
      <x:c r="B45" s="15" t="str">
        <x:v>RQ-ADM-019</x:v>
      </x:c>
      <x:c r="C45" s="15" t="str">
        <x:v>TS-ADM-044</x:v>
      </x:c>
      <x:c r="D45" s="15" t="str">
        <x:v>TC-ADM-044</x:v>
      </x:c>
      <x:c r="E45" s="15" t="str">
        <x:v>Student Registration</x:v>
      </x:c>
      <x:c r="F45" s="15" t="str">
        <x:v>Duplicate mobile number accepted during student registration during application edit flow</x:v>
      </x:c>
      <x:c r="G45" s="15" t="str">
        <x:v>Register student with mobile number already available in system &gt; click Submit &gt; repeat scenario during application edit flow</x:v>
      </x:c>
      <x:c r="H45" s="15" t="str">
        <x:v>System should prevent duplicate mobile number and show validation message.</x:v>
      </x:c>
      <x:c r="I45" s="15" t="str">
        <x:v>Duplicate mobile number is accepted and new applicant record is created. Issue observed during application edit flow.</x:v>
      </x:c>
      <x:c r="J45" s="15" t="str">
        <x:v>High</x:v>
      </x:c>
      <x:c r="K45" s="15" t="str">
        <x:v>P1</x:v>
      </x:c>
      <x:c r="L45" s="15" t="str">
        <x:v>UAT - Chrome / Windows 11</x:v>
      </x:c>
      <x:c r="M45" s="15" t="str">
        <x:v>Closed</x:v>
      </x:c>
      <x:c r="N45" s="15" t="str">
        <x:v>Aditya Singh</x:v>
      </x:c>
      <x:c r="O45" s="15" t="str">
        <x:v>Dev Team B</x:v>
      </x:c>
      <x:c r="P45" s="18" t="n">
        <x:v>46211</x:v>
      </x:c>
      <x:c r="Q45" s="15" t="str">
        <x:v>Screenshot_BR-ADM-044.png</x:v>
      </x:c>
      <x:c r="R45" s="15" t="str"/>
    </x:row>
    <x:row r="46">
      <x:c r="A46" s="15" t="str">
        <x:v>BR-ADM-045</x:v>
      </x:c>
      <x:c r="B46" s="15" t="str">
        <x:v>RQ-ADM-020</x:v>
      </x:c>
      <x:c r="C46" s="15" t="str">
        <x:v>TS-ADM-045</x:v>
      </x:c>
      <x:c r="D46" s="15" t="str">
        <x:v>TC-ADM-045</x:v>
      </x:c>
      <x:c r="E46" s="15" t="str">
        <x:v>Student Registration</x:v>
      </x:c>
      <x:c r="F46" s="15" t="str">
        <x:v>Invalid email format accepted in applicant email field during application edit flow</x:v>
      </x:c>
      <x:c r="G46" s="15" t="str">
        <x:v>Enter invalid email like test@@mail &gt; submit registration form &gt; repeat scenario during application edit flow</x:v>
      </x:c>
      <x:c r="H46" s="15" t="str">
        <x:v>System should validate email format before submission.</x:v>
      </x:c>
      <x:c r="I46" s="15" t="str">
        <x:v>Invalid email is accepted and saved successfully. Issue observed during application edit flow.</x:v>
      </x:c>
      <x:c r="J46" s="15" t="str">
        <x:v>Medium</x:v>
      </x:c>
      <x:c r="K46" s="15" t="str">
        <x:v>P2</x:v>
      </x:c>
      <x:c r="L46" s="15" t="str">
        <x:v>QA - Mobile Responsive</x:v>
      </x:c>
      <x:c r="M46" s="15" t="str">
        <x:v>In Progress</x:v>
      </x:c>
      <x:c r="N46" s="15" t="str">
        <x:v>Aditya Singh</x:v>
      </x:c>
      <x:c r="O46" s="15" t="str">
        <x:v>Admission Module Dev</x:v>
      </x:c>
      <x:c r="P46" s="18" t="n">
        <x:v>46212</x:v>
      </x:c>
      <x:c r="Q46" s="15" t="str">
        <x:v>Screenshot_BR-ADM-045.png</x:v>
      </x:c>
      <x:c r="R46" s="15" t="str"/>
    </x:row>
    <x:row r="47">
      <x:c r="A47" s="15" t="str">
        <x:v>BR-ADM-046</x:v>
      </x:c>
      <x:c r="B47" s="15" t="str">
        <x:v>RQ-ADM-021</x:v>
      </x:c>
      <x:c r="C47" s="15" t="str">
        <x:v>TS-ADM-046</x:v>
      </x:c>
      <x:c r="D47" s="15" t="str">
        <x:v>TC-ADM-046</x:v>
      </x:c>
      <x:c r="E47" s="15" t="str">
        <x:v>Student Registration</x:v>
      </x:c>
      <x:c r="F47" s="15" t="str">
        <x:v>Date of birth allows future date during application edit flow</x:v>
      </x:c>
      <x:c r="G47" s="15" t="str">
        <x:v>Open registration form &gt; select future DOB &gt; submit &gt; repeat scenario during application edit flow</x:v>
      </x:c>
      <x:c r="H47" s="15" t="str">
        <x:v>Future DOB should not be allowed.</x:v>
      </x:c>
      <x:c r="I47" s="15" t="str">
        <x:v>System saves future DOB without validation. Issue observed during application edit flow.</x:v>
      </x:c>
      <x:c r="J47" s="15" t="str">
        <x:v>High</x:v>
      </x:c>
      <x:c r="K47" s="15" t="str">
        <x:v>P1</x:v>
      </x:c>
      <x:c r="L47" s="15" t="str">
        <x:v>QA - Chrome 126 / Windows 10</x:v>
      </x:c>
      <x:c r="M47" s="15" t="str">
        <x:v>Closed</x:v>
      </x:c>
      <x:c r="N47" s="15" t="str">
        <x:v>Aditya Singh</x:v>
      </x:c>
      <x:c r="O47" s="15" t="str">
        <x:v>Backend Team</x:v>
      </x:c>
      <x:c r="P47" s="18" t="n">
        <x:v>46213</x:v>
      </x:c>
      <x:c r="Q47" s="15" t="str">
        <x:v>Screenshot_BR-ADM-046.png</x:v>
      </x:c>
      <x:c r="R47" s="15" t="str"/>
    </x:row>
    <x:row r="48">
      <x:c r="A48" s="15" t="str">
        <x:v>BR-ADM-047</x:v>
      </x:c>
      <x:c r="B48" s="15" t="str">
        <x:v>RQ-ADM-022</x:v>
      </x:c>
      <x:c r="C48" s="15" t="str">
        <x:v>TS-ADM-047</x:v>
      </x:c>
      <x:c r="D48" s="15" t="str">
        <x:v>TC-ADM-047</x:v>
      </x:c>
      <x:c r="E48" s="15" t="str">
        <x:v>Student Registration</x:v>
      </x:c>
      <x:c r="F48" s="15" t="str">
        <x:v>Aadhaar number accepts less than 12 digits during application edit flow</x:v>
      </x:c>
      <x:c r="G48" s="15" t="str">
        <x:v>Enter 10 digit Aadhaar number &gt; submit form &gt; repeat scenario during application edit flow</x:v>
      </x:c>
      <x:c r="H48" s="15" t="str">
        <x:v>Aadhaar field should accept exactly 12 digits.</x:v>
      </x:c>
      <x:c r="I48" s="15" t="str">
        <x:v>System accepts Aadhaar with less than 12 digits. Issue observed during application edit flow.</x:v>
      </x:c>
      <x:c r="J48" s="15" t="str">
        <x:v>Medium</x:v>
      </x:c>
      <x:c r="K48" s="15" t="str">
        <x:v>P2</x:v>
      </x:c>
      <x:c r="L48" s="15" t="str">
        <x:v>QA - Edge / Windows 10</x:v>
      </x:c>
      <x:c r="M48" s="15" t="str">
        <x:v>In Progress</x:v>
      </x:c>
      <x:c r="N48" s="15" t="str">
        <x:v>Aditya Singh</x:v>
      </x:c>
      <x:c r="O48" s="15" t="str">
        <x:v>UI Team</x:v>
      </x:c>
      <x:c r="P48" s="18" t="n">
        <x:v>46214</x:v>
      </x:c>
      <x:c r="Q48" s="15" t="str">
        <x:v>Screenshot_BR-ADM-047.png</x:v>
      </x:c>
      <x:c r="R48" s="15" t="str"/>
    </x:row>
    <x:row r="49">
      <x:c r="A49" s="15" t="str">
        <x:v>BR-ADM-048</x:v>
      </x:c>
      <x:c r="B49" s="15" t="str">
        <x:v>RQ-ADM-023</x:v>
      </x:c>
      <x:c r="C49" s="15" t="str">
        <x:v>TS-ADM-048</x:v>
      </x:c>
      <x:c r="D49" s="15" t="str">
        <x:v>TC-ADM-048</x:v>
      </x:c>
      <x:c r="E49" s="15" t="str">
        <x:v>Admission Form</x:v>
      </x:c>
      <x:c r="F49" s="15" t="str">
        <x:v>Admission form submits without selecting academic session during application edit flow</x:v>
      </x:c>
      <x:c r="G49" s="15" t="str">
        <x:v>Open admission form &gt; keep Academic Session blank &gt; submit &gt; repeat scenario during application edit flow</x:v>
      </x:c>
      <x:c r="H49" s="15" t="str">
        <x:v>Academic Session should be mandatory.</x:v>
      </x:c>
      <x:c r="I49" s="15" t="str">
        <x:v>Admission form submitted without academic session. Issue observed during application edit flow.</x:v>
      </x:c>
      <x:c r="J49" s="15" t="str">
        <x:v>High</x:v>
      </x:c>
      <x:c r="K49" s="15" t="str">
        <x:v>P1</x:v>
      </x:c>
      <x:c r="L49" s="15" t="str">
        <x:v>QA - Firefox / Windows 10</x:v>
      </x:c>
      <x:c r="M49" s="15" t="str">
        <x:v>Closed</x:v>
      </x:c>
      <x:c r="N49" s="15" t="str">
        <x:v>Aditya Singh</x:v>
      </x:c>
      <x:c r="O49" s="15" t="str">
        <x:v>QA Retest Team</x:v>
      </x:c>
      <x:c r="P49" s="18" t="n">
        <x:v>46215</x:v>
      </x:c>
      <x:c r="Q49" s="15" t="str">
        <x:v>Screenshot_BR-ADM-048.png</x:v>
      </x:c>
      <x:c r="R49" s="15" t="str"/>
    </x:row>
    <x:row r="50">
      <x:c r="A50" s="15" t="str">
        <x:v>BR-ADM-049</x:v>
      </x:c>
      <x:c r="B50" s="15" t="str">
        <x:v>RQ-ADM-024</x:v>
      </x:c>
      <x:c r="C50" s="15" t="str">
        <x:v>TS-ADM-049</x:v>
      </x:c>
      <x:c r="D50" s="15" t="str">
        <x:v>TC-ADM-049</x:v>
      </x:c>
      <x:c r="E50" s="15" t="str">
        <x:v>Admission Form</x:v>
      </x:c>
      <x:c r="F50" s="15" t="str">
        <x:v>Father name field accepts special characters during application edit flow</x:v>
      </x:c>
      <x:c r="G50" s="15" t="str">
        <x:v>Enter special characters in Father Name field &gt; save form &gt; repeat scenario during application edit flow</x:v>
      </x:c>
      <x:c r="H50" s="15" t="str">
        <x:v>Name field should accept alphabets and valid spaces only.</x:v>
      </x:c>
      <x:c r="I50" s="15" t="str">
        <x:v>Special characters are accepted in Father Name field. Issue observed during application edit flow.</x:v>
      </x:c>
      <x:c r="J50" s="15" t="str">
        <x:v>Low</x:v>
      </x:c>
      <x:c r="K50" s="15" t="str">
        <x:v>P3</x:v>
      </x:c>
      <x:c r="L50" s="15" t="str">
        <x:v>UAT - Chrome / Windows 11</x:v>
      </x:c>
      <x:c r="M50" s="15" t="str">
        <x:v>In Progress</x:v>
      </x:c>
      <x:c r="N50" s="15" t="str">
        <x:v>Aditya Singh</x:v>
      </x:c>
      <x:c r="O50" s="15" t="str">
        <x:v>Dev Team A</x:v>
      </x:c>
      <x:c r="P50" s="18" t="n">
        <x:v>46216</x:v>
      </x:c>
      <x:c r="Q50" s="15" t="str">
        <x:v>Screenshot_BR-ADM-049.png</x:v>
      </x:c>
      <x:c r="R50" s="15" t="str"/>
    </x:row>
    <x:row r="51">
      <x:c r="A51" s="15" t="str">
        <x:v>BR-ADM-050</x:v>
      </x:c>
      <x:c r="B51" s="15" t="str">
        <x:v>RQ-ADM-025</x:v>
      </x:c>
      <x:c r="C51" s="15" t="str">
        <x:v>TS-ADM-050</x:v>
      </x:c>
      <x:c r="D51" s="15" t="str">
        <x:v>TC-ADM-050</x:v>
      </x:c>
      <x:c r="E51" s="15" t="str">
        <x:v>Admission Form</x:v>
      </x:c>
      <x:c r="F51" s="15" t="str">
        <x:v>Address field trims entered text after 100 characters during application edit flow</x:v>
      </x:c>
      <x:c r="G51" s="15" t="str">
        <x:v>Enter long permanent address &gt; save &gt; reopen profile &gt; repeat scenario during application edit flow</x:v>
      </x:c>
      <x:c r="H51" s="15" t="str">
        <x:v>Full address should be saved as per allowed limit.</x:v>
      </x:c>
      <x:c r="I51" s="15" t="str">
        <x:v>Address text is truncated unexpectedly after save. Issue observed during application edit flow.</x:v>
      </x:c>
      <x:c r="J51" s="15" t="str">
        <x:v>Medium</x:v>
      </x:c>
      <x:c r="K51" s="15" t="str">
        <x:v>P2</x:v>
      </x:c>
      <x:c r="L51" s="15" t="str">
        <x:v>QA - Mobile Responsive</x:v>
      </x:c>
      <x:c r="M51" s="15" t="str">
        <x:v>Closed</x:v>
      </x:c>
      <x:c r="N51" s="15" t="str">
        <x:v>Aditya Singh</x:v>
      </x:c>
      <x:c r="O51" s="15" t="str">
        <x:v>Dev Team B</x:v>
      </x:c>
      <x:c r="P51" s="18" t="n">
        <x:v>46217</x:v>
      </x:c>
      <x:c r="Q51" s="15" t="str">
        <x:v>Screenshot_BR-ADM-050.png</x:v>
      </x:c>
      <x:c r="R51" s="15" t="str"/>
    </x:row>
    <x:row r="52">
      <x:c r="A52" s="15" t="str">
        <x:v>BR-ADM-051</x:v>
      </x:c>
      <x:c r="B52" s="15" t="str">
        <x:v>RQ-ADM-001</x:v>
      </x:c>
      <x:c r="C52" s="15" t="str">
        <x:v>TS-ADM-001</x:v>
      </x:c>
      <x:c r="D52" s="15" t="str">
        <x:v>TC-ADM-051</x:v>
      </x:c>
      <x:c r="E52" s="15" t="str">
        <x:v>Admission Form</x:v>
      </x:c>
      <x:c r="F52" s="15" t="str">
        <x:v>Gender dropdown value resets after save during application edit flow</x:v>
      </x:c>
      <x:c r="G52" s="15" t="str">
        <x:v>Select Gender &gt; save admission form &gt; reopen same record &gt; repeat scenario during application edit flow</x:v>
      </x:c>
      <x:c r="H52" s="15" t="str">
        <x:v>Selected gender should remain saved.</x:v>
      </x:c>
      <x:c r="I52" s="15" t="str">
        <x:v>Gender field resets to default blank value. Issue observed during application edit flow.</x:v>
      </x:c>
      <x:c r="J52" s="15" t="str">
        <x:v>Medium</x:v>
      </x:c>
      <x:c r="K52" s="15" t="str">
        <x:v>P2</x:v>
      </x:c>
      <x:c r="L52" s="15" t="str">
        <x:v>QA - Chrome 126 / Windows 10</x:v>
      </x:c>
      <x:c r="M52" s="15" t="str">
        <x:v>In Progress</x:v>
      </x:c>
      <x:c r="N52" s="15" t="str">
        <x:v>Aditya Singh</x:v>
      </x:c>
      <x:c r="O52" s="15" t="str">
        <x:v>Admission Module Dev</x:v>
      </x:c>
      <x:c r="P52" s="18" t="n">
        <x:v>46218</x:v>
      </x:c>
      <x:c r="Q52" s="15" t="str">
        <x:v>Screenshot_BR-ADM-051.png</x:v>
      </x:c>
      <x:c r="R52" s="15" t="str"/>
    </x:row>
    <x:row r="53">
      <x:c r="A53" s="15" t="str">
        <x:v>BR-ADM-052</x:v>
      </x:c>
      <x:c r="B53" s="15" t="str">
        <x:v>RQ-ADM-002</x:v>
      </x:c>
      <x:c r="C53" s="15" t="str">
        <x:v>TS-ADM-002</x:v>
      </x:c>
      <x:c r="D53" s="15" t="str">
        <x:v>TC-ADM-052</x:v>
      </x:c>
      <x:c r="E53" s="15" t="str">
        <x:v>Admission Form</x:v>
      </x:c>
      <x:c r="F53" s="15" t="str">
        <x:v>Application number not generated after successful admission form submission during application edit flow</x:v>
      </x:c>
      <x:c r="G53" s="15" t="str">
        <x:v>Submit all mandatory details &gt; click Save &gt; repeat scenario during application edit flow</x:v>
      </x:c>
      <x:c r="H53" s="15" t="str">
        <x:v>Unique application number should be generated.</x:v>
      </x:c>
      <x:c r="I53" s="15" t="str">
        <x:v>No application number is generated after submission. Issue observed during application edit flow.</x:v>
      </x:c>
      <x:c r="J53" s="15" t="str">
        <x:v>Critical</x:v>
      </x:c>
      <x:c r="K53" s="15" t="str">
        <x:v>P1</x:v>
      </x:c>
      <x:c r="L53" s="15" t="str">
        <x:v>QA - Edge / Windows 10</x:v>
      </x:c>
      <x:c r="M53" s="15" t="str">
        <x:v>Fixed</x:v>
      </x:c>
      <x:c r="N53" s="15" t="str">
        <x:v>Aditya Singh</x:v>
      </x:c>
      <x:c r="O53" s="15" t="str">
        <x:v>Backend Team</x:v>
      </x:c>
      <x:c r="P53" s="18" t="n">
        <x:v>46219</x:v>
      </x:c>
      <x:c r="Q53" s="15" t="str">
        <x:v>Screenshot_BR-ADM-052.png</x:v>
      </x:c>
      <x:c r="R53" s="15" t="str">
        <x:v>Retest required after fix</x:v>
      </x:c>
    </x:row>
    <x:row r="54">
      <x:c r="A54" s="15" t="str">
        <x:v>BR-ADM-053</x:v>
      </x:c>
      <x:c r="B54" s="15" t="str">
        <x:v>RQ-ADM-003</x:v>
      </x:c>
      <x:c r="C54" s="15" t="str">
        <x:v>TS-ADM-003</x:v>
      </x:c>
      <x:c r="D54" s="15" t="str">
        <x:v>TC-ADM-053</x:v>
      </x:c>
      <x:c r="E54" s="15" t="str">
        <x:v>Course Selection</x:v>
      </x:c>
      <x:c r="F54" s="15" t="str">
        <x:v>Inactive course displayed in course selection dropdown during application edit flow</x:v>
      </x:c>
      <x:c r="G54" s="15" t="str">
        <x:v>Open Course Selection &gt; check course list &gt; repeat scenario during application edit flow</x:v>
      </x:c>
      <x:c r="H54" s="15" t="str">
        <x:v>Only active courses should be displayed.</x:v>
      </x:c>
      <x:c r="I54" s="15" t="str">
        <x:v>Inactive courses are visible in dropdown. Issue observed during application edit flow.</x:v>
      </x:c>
      <x:c r="J54" s="15" t="str">
        <x:v>Medium</x:v>
      </x:c>
      <x:c r="K54" s="15" t="str">
        <x:v>P2</x:v>
      </x:c>
      <x:c r="L54" s="15" t="str">
        <x:v>QA - Firefox / Windows 10</x:v>
      </x:c>
      <x:c r="M54" s="15" t="str">
        <x:v>In Progress</x:v>
      </x:c>
      <x:c r="N54" s="15" t="str">
        <x:v>Aditya Singh</x:v>
      </x:c>
      <x:c r="O54" s="15" t="str">
        <x:v>UI Team</x:v>
      </x:c>
      <x:c r="P54" s="18" t="n">
        <x:v>46220</x:v>
      </x:c>
      <x:c r="Q54" s="15" t="str">
        <x:v>Screenshot_BR-ADM-053.png</x:v>
      </x:c>
      <x:c r="R54" s="15" t="str"/>
    </x:row>
    <x:row r="55">
      <x:c r="A55" s="15" t="str">
        <x:v>BR-ADM-054</x:v>
      </x:c>
      <x:c r="B55" s="15" t="str">
        <x:v>RQ-ADM-004</x:v>
      </x:c>
      <x:c r="C55" s="15" t="str">
        <x:v>TS-ADM-004</x:v>
      </x:c>
      <x:c r="D55" s="15" t="str">
        <x:v>TC-ADM-054</x:v>
      </x:c>
      <x:c r="E55" s="15" t="str">
        <x:v>Course Selection</x:v>
      </x:c>
      <x:c r="F55" s="15" t="str">
        <x:v>Course seat availability not updated after successful admission during application edit flow</x:v>
      </x:c>
      <x:c r="G55" s="15" t="str">
        <x:v>Select course with available seats &gt; approve admission &gt; check seat count &gt; repeat scenario during application edit flow</x:v>
      </x:c>
      <x:c r="H55" s="15" t="str">
        <x:v>Available seat count should decrease by one.</x:v>
      </x:c>
      <x:c r="I55" s="15" t="str">
        <x:v>Seat count remains unchanged. Issue observed during application edit flow.</x:v>
      </x:c>
      <x:c r="J55" s="15" t="str">
        <x:v>High</x:v>
      </x:c>
      <x:c r="K55" s="15" t="str">
        <x:v>P1</x:v>
      </x:c>
      <x:c r="L55" s="15" t="str">
        <x:v>UAT - Chrome / Windows 11</x:v>
      </x:c>
      <x:c r="M55" s="15" t="str">
        <x:v>Closed</x:v>
      </x:c>
      <x:c r="N55" s="15" t="str">
        <x:v>Aditya Singh</x:v>
      </x:c>
      <x:c r="O55" s="15" t="str">
        <x:v>QA Retest Team</x:v>
      </x:c>
      <x:c r="P55" s="18" t="n">
        <x:v>46221</x:v>
      </x:c>
      <x:c r="Q55" s="15" t="str">
        <x:v>Screenshot_BR-ADM-054.png</x:v>
      </x:c>
      <x:c r="R55" s="15" t="str"/>
    </x:row>
    <x:row r="56">
      <x:c r="A56" s="15" t="str">
        <x:v>BR-ADM-055</x:v>
      </x:c>
      <x:c r="B56" s="15" t="str">
        <x:v>RQ-ADM-005</x:v>
      </x:c>
      <x:c r="C56" s="15" t="str">
        <x:v>TS-ADM-005</x:v>
      </x:c>
      <x:c r="D56" s="15" t="str">
        <x:v>TC-ADM-055</x:v>
      </x:c>
      <x:c r="E56" s="15" t="str">
        <x:v>Course Selection</x:v>
      </x:c>
      <x:c r="F56" s="15" t="str">
        <x:v>Course eligibility validation missing for minimum percentage during application edit flow</x:v>
      </x:c>
      <x:c r="G56" s="15" t="str">
        <x:v>Select course requiring 60% &gt; enter 45% marks &gt; submit &gt; repeat scenario during application edit flow</x:v>
      </x:c>
      <x:c r="H56" s="15" t="str">
        <x:v>System should block course selection when eligibility is not met.</x:v>
      </x:c>
      <x:c r="I56" s="15" t="str">
        <x:v>Course selection allowed despite low percentage. Issue observed during application edit flow.</x:v>
      </x:c>
      <x:c r="J56" s="15" t="str">
        <x:v>High</x:v>
      </x:c>
      <x:c r="K56" s="15" t="str">
        <x:v>P1</x:v>
      </x:c>
      <x:c r="L56" s="15" t="str">
        <x:v>QA - Mobile Responsive</x:v>
      </x:c>
      <x:c r="M56" s="15" t="str">
        <x:v>In Progress</x:v>
      </x:c>
      <x:c r="N56" s="15" t="str">
        <x:v>Aditya Singh</x:v>
      </x:c>
      <x:c r="O56" s="15" t="str">
        <x:v>Dev Team A</x:v>
      </x:c>
      <x:c r="P56" s="18" t="n">
        <x:v>46204</x:v>
      </x:c>
      <x:c r="Q56" s="15" t="str">
        <x:v>Screenshot_BR-ADM-055.png</x:v>
      </x:c>
      <x:c r="R56" s="15" t="str"/>
    </x:row>
    <x:row r="57">
      <x:c r="A57" s="15" t="str">
        <x:v>BR-ADM-056</x:v>
      </x:c>
      <x:c r="B57" s="15" t="str">
        <x:v>RQ-ADM-006</x:v>
      </x:c>
      <x:c r="C57" s="15" t="str">
        <x:v>TS-ADM-006</x:v>
      </x:c>
      <x:c r="D57" s="15" t="str">
        <x:v>TC-ADM-056</x:v>
      </x:c>
      <x:c r="E57" s="15" t="str">
        <x:v>Course Selection</x:v>
      </x:c>
      <x:c r="F57" s="15" t="str">
        <x:v>Branch dropdown shows duplicate branch names during application edit flow</x:v>
      </x:c>
      <x:c r="G57" s="15" t="str">
        <x:v>Open branch dropdown under selected course &gt; repeat scenario during application edit flow</x:v>
      </x:c>
      <x:c r="H57" s="15" t="str">
        <x:v>Branch list should show unique active branches.</x:v>
      </x:c>
      <x:c r="I57" s="15" t="str">
        <x:v>Duplicate branch values are displayed. Issue observed during application edit flow.</x:v>
      </x:c>
      <x:c r="J57" s="15" t="str">
        <x:v>Low</x:v>
      </x:c>
      <x:c r="K57" s="15" t="str">
        <x:v>P3</x:v>
      </x:c>
      <x:c r="L57" s="15" t="str">
        <x:v>QA - Chrome 126 / Windows 10</x:v>
      </x:c>
      <x:c r="M57" s="15" t="str">
        <x:v>Closed</x:v>
      </x:c>
      <x:c r="N57" s="15" t="str">
        <x:v>Aditya Singh</x:v>
      </x:c>
      <x:c r="O57" s="15" t="str">
        <x:v>Dev Team B</x:v>
      </x:c>
      <x:c r="P57" s="18" t="n">
        <x:v>46205</x:v>
      </x:c>
      <x:c r="Q57" s="15" t="str">
        <x:v>Screenshot_BR-ADM-056.png</x:v>
      </x:c>
      <x:c r="R57" s="15" t="str"/>
    </x:row>
    <x:row r="58">
      <x:c r="A58" s="15" t="str">
        <x:v>BR-ADM-057</x:v>
      </x:c>
      <x:c r="B58" s="15" t="str">
        <x:v>RQ-ADM-007</x:v>
      </x:c>
      <x:c r="C58" s="15" t="str">
        <x:v>TS-ADM-007</x:v>
      </x:c>
      <x:c r="D58" s="15" t="str">
        <x:v>TC-ADM-057</x:v>
      </x:c>
      <x:c r="E58" s="15" t="str">
        <x:v>Course Selection</x:v>
      </x:c>
      <x:c r="F58" s="15" t="str">
        <x:v>Wrong semester displayed for lateral entry applicant during application edit flow</x:v>
      </x:c>
      <x:c r="G58" s="15" t="str">
        <x:v>Select lateral entry option &gt; choose course &gt; repeat scenario during application edit flow</x:v>
      </x:c>
      <x:c r="H58" s="15" t="str">
        <x:v>System should display correct semester for lateral entry.</x:v>
      </x:c>
      <x:c r="I58" s="15" t="str">
        <x:v>Semester 1 displayed instead of Semester 3. Issue observed during application edit flow.</x:v>
      </x:c>
      <x:c r="J58" s="15" t="str">
        <x:v>Medium</x:v>
      </x:c>
      <x:c r="K58" s="15" t="str">
        <x:v>P2</x:v>
      </x:c>
      <x:c r="L58" s="15" t="str">
        <x:v>QA - Edge / Windows 10</x:v>
      </x:c>
      <x:c r="M58" s="15" t="str">
        <x:v>In Progress</x:v>
      </x:c>
      <x:c r="N58" s="15" t="str">
        <x:v>Aditya Singh</x:v>
      </x:c>
      <x:c r="O58" s="15" t="str">
        <x:v>Admission Module Dev</x:v>
      </x:c>
      <x:c r="P58" s="18" t="n">
        <x:v>46206</x:v>
      </x:c>
      <x:c r="Q58" s="15" t="str">
        <x:v>Screenshot_BR-ADM-057.png</x:v>
      </x:c>
      <x:c r="R58" s="15" t="str"/>
    </x:row>
    <x:row r="59">
      <x:c r="A59" s="15" t="str">
        <x:v>BR-ADM-058</x:v>
      </x:c>
      <x:c r="B59" s="15" t="str">
        <x:v>RQ-ADM-008</x:v>
      </x:c>
      <x:c r="C59" s="15" t="str">
        <x:v>TS-ADM-008</x:v>
      </x:c>
      <x:c r="D59" s="15" t="str">
        <x:v>TC-ADM-058</x:v>
      </x:c>
      <x:c r="E59" s="15" t="str">
        <x:v>Document Upload</x:v>
      </x:c>
      <x:c r="F59" s="15" t="str">
        <x:v>PDF document upload fails below allowed file size during application edit flow</x:v>
      </x:c>
      <x:c r="G59" s="15" t="str">
        <x:v>Upload valid PDF under 2 MB &gt; repeat scenario during application edit flow</x:v>
      </x:c>
      <x:c r="H59" s="15" t="str">
        <x:v>Valid PDF should upload successfully.</x:v>
      </x:c>
      <x:c r="I59" s="15" t="str">
        <x:v>Upload fails with generic error message. Issue observed during application edit flow.</x:v>
      </x:c>
      <x:c r="J59" s="15" t="str">
        <x:v>High</x:v>
      </x:c>
      <x:c r="K59" s="15" t="str">
        <x:v>P1</x:v>
      </x:c>
      <x:c r="L59" s="15" t="str">
        <x:v>QA - Firefox / Windows 10</x:v>
      </x:c>
      <x:c r="M59" s="15" t="str">
        <x:v>Closed</x:v>
      </x:c>
      <x:c r="N59" s="15" t="str">
        <x:v>Aditya Singh</x:v>
      </x:c>
      <x:c r="O59" s="15" t="str">
        <x:v>Backend Team</x:v>
      </x:c>
      <x:c r="P59" s="18" t="n">
        <x:v>46207</x:v>
      </x:c>
      <x:c r="Q59" s="15" t="str">
        <x:v>Screenshot_BR-ADM-058.png</x:v>
      </x:c>
      <x:c r="R59" s="15" t="str"/>
    </x:row>
    <x:row r="60">
      <x:c r="A60" s="15" t="str">
        <x:v>BR-ADM-059</x:v>
      </x:c>
      <x:c r="B60" s="15" t="str">
        <x:v>RQ-ADM-009</x:v>
      </x:c>
      <x:c r="C60" s="15" t="str">
        <x:v>TS-ADM-009</x:v>
      </x:c>
      <x:c r="D60" s="15" t="str">
        <x:v>TC-ADM-059</x:v>
      </x:c>
      <x:c r="E60" s="15" t="str">
        <x:v>Document Upload</x:v>
      </x:c>
      <x:c r="F60" s="15" t="str">
        <x:v>Unsupported file type accepted for mark sheet upload during application edit flow</x:v>
      </x:c>
      <x:c r="G60" s="15" t="str">
        <x:v>Upload .exe or .zip file in mark sheet field &gt; repeat scenario during application edit flow</x:v>
      </x:c>
      <x:c r="H60" s="15" t="str">
        <x:v>System should allow only configured document types.</x:v>
      </x:c>
      <x:c r="I60" s="15" t="str">
        <x:v>Unsupported file type is uploaded successfully. Issue observed during application edit flow.</x:v>
      </x:c>
      <x:c r="J60" s="15" t="str">
        <x:v>Critical</x:v>
      </x:c>
      <x:c r="K60" s="15" t="str">
        <x:v>P1</x:v>
      </x:c>
      <x:c r="L60" s="15" t="str">
        <x:v>UAT - Chrome / Windows 11</x:v>
      </x:c>
      <x:c r="M60" s="15" t="str">
        <x:v>Retest</x:v>
      </x:c>
      <x:c r="N60" s="15" t="str">
        <x:v>Aditya Singh</x:v>
      </x:c>
      <x:c r="O60" s="15" t="str">
        <x:v>UI Team</x:v>
      </x:c>
      <x:c r="P60" s="18" t="n">
        <x:v>46208</x:v>
      </x:c>
      <x:c r="Q60" s="15" t="str">
        <x:v>Screenshot_BR-ADM-059.png</x:v>
      </x:c>
      <x:c r="R60" s="15" t="str">
        <x:v>Retest required after fix</x:v>
      </x:c>
    </x:row>
    <x:row r="61">
      <x:c r="A61" s="15" t="str">
        <x:v>BR-ADM-060</x:v>
      </x:c>
      <x:c r="B61" s="15" t="str">
        <x:v>RQ-ADM-010</x:v>
      </x:c>
      <x:c r="C61" s="15" t="str">
        <x:v>TS-ADM-010</x:v>
      </x:c>
      <x:c r="D61" s="15" t="str">
        <x:v>TC-ADM-060</x:v>
      </x:c>
      <x:c r="E61" s="15" t="str">
        <x:v>Document Upload</x:v>
      </x:c>
      <x:c r="F61" s="15" t="str">
        <x:v>Document status remains Pending after successful upload during application edit flow</x:v>
      </x:c>
      <x:c r="G61" s="15" t="str">
        <x:v>Upload required document &gt; check document verification grid &gt; repeat scenario during application edit flow</x:v>
      </x:c>
      <x:c r="H61" s="15" t="str">
        <x:v>Status should update to Uploaded/Submitted.</x:v>
      </x:c>
      <x:c r="I61" s="15" t="str">
        <x:v>Status remains Pending. Issue observed during application edit flow.</x:v>
      </x:c>
      <x:c r="J61" s="15" t="str">
        <x:v>Medium</x:v>
      </x:c>
      <x:c r="K61" s="15" t="str">
        <x:v>P2</x:v>
      </x:c>
      <x:c r="L61" s="15" t="str">
        <x:v>QA - Mobile Responsive</x:v>
      </x:c>
      <x:c r="M61" s="15" t="str">
        <x:v>Closed</x:v>
      </x:c>
      <x:c r="N61" s="15" t="str">
        <x:v>Aditya Singh</x:v>
      </x:c>
      <x:c r="O61" s="15" t="str">
        <x:v>QA Retest Team</x:v>
      </x:c>
      <x:c r="P61" s="18" t="n">
        <x:v>46209</x:v>
      </x:c>
      <x:c r="Q61" s="15" t="str">
        <x:v>Screenshot_BR-ADM-060.png</x:v>
      </x:c>
      <x:c r="R61" s="15" t="str"/>
    </x:row>
    <x:row r="62">
      <x:c r="A62" s="15" t="str">
        <x:v>BR-ADM-061</x:v>
      </x:c>
      <x:c r="B62" s="15" t="str">
        <x:v>RQ-ADM-011</x:v>
      </x:c>
      <x:c r="C62" s="15" t="str">
        <x:v>TS-ADM-011</x:v>
      </x:c>
      <x:c r="D62" s="15" t="str">
        <x:v>TC-ADM-061</x:v>
      </x:c>
      <x:c r="E62" s="15" t="str">
        <x:v>Document Upload</x:v>
      </x:c>
      <x:c r="F62" s="15" t="str">
        <x:v>Uploaded document preview shows blank page during application edit flow</x:v>
      </x:c>
      <x:c r="G62" s="15" t="str">
        <x:v>Upload valid PDF &gt; click Preview &gt; repeat scenario during application edit flow</x:v>
      </x:c>
      <x:c r="H62" s="15" t="str">
        <x:v>Uploaded document should preview correctly.</x:v>
      </x:c>
      <x:c r="I62" s="15" t="str">
        <x:v>Preview opens but displays blank page. Issue observed during application edit flow.</x:v>
      </x:c>
      <x:c r="J62" s="15" t="str">
        <x:v>Medium</x:v>
      </x:c>
      <x:c r="K62" s="15" t="str">
        <x:v>P2</x:v>
      </x:c>
      <x:c r="L62" s="15" t="str">
        <x:v>QA - Chrome 126 / Windows 10</x:v>
      </x:c>
      <x:c r="M62" s="15" t="str">
        <x:v>In Progress</x:v>
      </x:c>
      <x:c r="N62" s="15" t="str">
        <x:v>Aditya Singh</x:v>
      </x:c>
      <x:c r="O62" s="15" t="str">
        <x:v>Dev Team A</x:v>
      </x:c>
      <x:c r="P62" s="18" t="n">
        <x:v>46210</x:v>
      </x:c>
      <x:c r="Q62" s="15" t="str">
        <x:v>Screenshot_BR-ADM-061.png</x:v>
      </x:c>
      <x:c r="R62" s="15" t="str"/>
    </x:row>
    <x:row r="63">
      <x:c r="A63" s="15" t="str">
        <x:v>BR-ADM-062</x:v>
      </x:c>
      <x:c r="B63" s="15" t="str">
        <x:v>RQ-ADM-012</x:v>
      </x:c>
      <x:c r="C63" s="15" t="str">
        <x:v>TS-ADM-012</x:v>
      </x:c>
      <x:c r="D63" s="15" t="str">
        <x:v>TC-ADM-062</x:v>
      </x:c>
      <x:c r="E63" s="15" t="str">
        <x:v>Document Upload</x:v>
      </x:c>
      <x:c r="F63" s="15" t="str">
        <x:v>Delete document option available after verification approval during application edit flow</x:v>
      </x:c>
      <x:c r="G63" s="15" t="str">
        <x:v>Verify document as approved &gt; login as applicant &gt; open documents &gt; repeat scenario during application edit flow</x:v>
      </x:c>
      <x:c r="H63" s="15" t="str">
        <x:v>Approved document should not be deletable by applicant.</x:v>
      </x:c>
      <x:c r="I63" s="15" t="str">
        <x:v>Applicant can delete approved document. Issue observed during application edit flow.</x:v>
      </x:c>
      <x:c r="J63" s="15" t="str">
        <x:v>High</x:v>
      </x:c>
      <x:c r="K63" s="15" t="str">
        <x:v>P1</x:v>
      </x:c>
      <x:c r="L63" s="15" t="str">
        <x:v>QA - Edge / Windows 10</x:v>
      </x:c>
      <x:c r="M63" s="15" t="str">
        <x:v>Closed</x:v>
      </x:c>
      <x:c r="N63" s="15" t="str">
        <x:v>Aditya Singh</x:v>
      </x:c>
      <x:c r="O63" s="15" t="str">
        <x:v>Dev Team B</x:v>
      </x:c>
      <x:c r="P63" s="18" t="n">
        <x:v>46211</x:v>
      </x:c>
      <x:c r="Q63" s="15" t="str">
        <x:v>Screenshot_BR-ADM-062.png</x:v>
      </x:c>
      <x:c r="R63" s="15" t="str"/>
    </x:row>
    <x:row r="64">
      <x:c r="A64" s="15" t="str">
        <x:v>BR-ADM-063</x:v>
      </x:c>
      <x:c r="B64" s="15" t="str">
        <x:v>RQ-ADM-013</x:v>
      </x:c>
      <x:c r="C64" s="15" t="str">
        <x:v>TS-ADM-013</x:v>
      </x:c>
      <x:c r="D64" s="15" t="str">
        <x:v>TC-ADM-063</x:v>
      </x:c>
      <x:c r="E64" s="15" t="str">
        <x:v>Fee Payment</x:v>
      </x:c>
      <x:c r="F64" s="15" t="str">
        <x:v>Admission fee receipt not generated after successful payment during application edit flow</x:v>
      </x:c>
      <x:c r="G64" s="15" t="str">
        <x:v>Make successful payment &gt; open receipt section &gt; repeat scenario during application edit flow</x:v>
      </x:c>
      <x:c r="H64" s="15" t="str">
        <x:v>Receipt should be generated with transaction details.</x:v>
      </x:c>
      <x:c r="I64" s="15" t="str">
        <x:v>Receipt is not generated. Issue observed during application edit flow.</x:v>
      </x:c>
      <x:c r="J64" s="15" t="str">
        <x:v>Critical</x:v>
      </x:c>
      <x:c r="K64" s="15" t="str">
        <x:v>P1</x:v>
      </x:c>
      <x:c r="L64" s="15" t="str">
        <x:v>QA - Firefox / Windows 10</x:v>
      </x:c>
      <x:c r="M64" s="15" t="str">
        <x:v>Retest</x:v>
      </x:c>
      <x:c r="N64" s="15" t="str">
        <x:v>Aditya Singh</x:v>
      </x:c>
      <x:c r="O64" s="15" t="str">
        <x:v>Admission Module Dev</x:v>
      </x:c>
      <x:c r="P64" s="18" t="n">
        <x:v>46212</x:v>
      </x:c>
      <x:c r="Q64" s="15" t="str">
        <x:v>Screenshot_BR-ADM-063.png</x:v>
      </x:c>
      <x:c r="R64" s="15" t="str">
        <x:v>Retest required after fix</x:v>
      </x:c>
    </x:row>
    <x:row r="65">
      <x:c r="A65" s="15" t="str">
        <x:v>BR-ADM-064</x:v>
      </x:c>
      <x:c r="B65" s="15" t="str">
        <x:v>RQ-ADM-014</x:v>
      </x:c>
      <x:c r="C65" s="15" t="str">
        <x:v>TS-ADM-014</x:v>
      </x:c>
      <x:c r="D65" s="15" t="str">
        <x:v>TC-ADM-064</x:v>
      </x:c>
      <x:c r="E65" s="15" t="str">
        <x:v>Fee Payment</x:v>
      </x:c>
      <x:c r="F65" s="15" t="str">
        <x:v>Payment status remains Pending after successful transaction during application edit flow</x:v>
      </x:c>
      <x:c r="G65" s="15" t="str">
        <x:v>Complete payment using valid transaction &gt; refresh admission record &gt; repeat scenario during application edit flow</x:v>
      </x:c>
      <x:c r="H65" s="15" t="str">
        <x:v>Payment status should show Paid.</x:v>
      </x:c>
      <x:c r="I65" s="15" t="str">
        <x:v>Status remains Pending. Issue observed during application edit flow.</x:v>
      </x:c>
      <x:c r="J65" s="15" t="str">
        <x:v>Critical</x:v>
      </x:c>
      <x:c r="K65" s="15" t="str">
        <x:v>P1</x:v>
      </x:c>
      <x:c r="L65" s="15" t="str">
        <x:v>UAT - Chrome / Windows 11</x:v>
      </x:c>
      <x:c r="M65" s="15" t="str">
        <x:v>Fixed</x:v>
      </x:c>
      <x:c r="N65" s="15" t="str">
        <x:v>Aditya Singh</x:v>
      </x:c>
      <x:c r="O65" s="15" t="str">
        <x:v>Backend Team</x:v>
      </x:c>
      <x:c r="P65" s="18" t="n">
        <x:v>46213</x:v>
      </x:c>
      <x:c r="Q65" s="15" t="str">
        <x:v>Screenshot_BR-ADM-064.png</x:v>
      </x:c>
      <x:c r="R65" s="15" t="str">
        <x:v>Retest required after fix</x:v>
      </x:c>
    </x:row>
    <x:row r="66">
      <x:c r="A66" s="15" t="str">
        <x:v>BR-ADM-065</x:v>
      </x:c>
      <x:c r="B66" s="15" t="str">
        <x:v>RQ-ADM-015</x:v>
      </x:c>
      <x:c r="C66" s="15" t="str">
        <x:v>TS-ADM-015</x:v>
      </x:c>
      <x:c r="D66" s="15" t="str">
        <x:v>TC-ADM-065</x:v>
      </x:c>
      <x:c r="E66" s="15" t="str">
        <x:v>Fee Payment</x:v>
      </x:c>
      <x:c r="F66" s="15" t="str">
        <x:v>Partial payment incorrectly marks admission fee as fully paid during application edit flow</x:v>
      </x:c>
      <x:c r="G66" s="15" t="str">
        <x:v>Pay partial fee amount &gt; check fee status &gt; repeat scenario during application edit flow</x:v>
      </x:c>
      <x:c r="H66" s="15" t="str">
        <x:v>Fee status should show Partially Paid.</x:v>
      </x:c>
      <x:c r="I66" s="15" t="str">
        <x:v>System marks fee as Fully Paid. Issue observed during application edit flow.</x:v>
      </x:c>
      <x:c r="J66" s="15" t="str">
        <x:v>High</x:v>
      </x:c>
      <x:c r="K66" s="15" t="str">
        <x:v>P1</x:v>
      </x:c>
      <x:c r="L66" s="15" t="str">
        <x:v>QA - Mobile Responsive</x:v>
      </x:c>
      <x:c r="M66" s="15" t="str">
        <x:v>In Progress</x:v>
      </x:c>
      <x:c r="N66" s="15" t="str">
        <x:v>Aditya Singh</x:v>
      </x:c>
      <x:c r="O66" s="15" t="str">
        <x:v>UI Team</x:v>
      </x:c>
      <x:c r="P66" s="18" t="n">
        <x:v>46214</x:v>
      </x:c>
      <x:c r="Q66" s="15" t="str">
        <x:v>Screenshot_BR-ADM-065.png</x:v>
      </x:c>
      <x:c r="R66" s="15" t="str"/>
    </x:row>
    <x:row r="67">
      <x:c r="A67" s="15" t="str">
        <x:v>BR-ADM-066</x:v>
      </x:c>
      <x:c r="B67" s="15" t="str">
        <x:v>RQ-ADM-016</x:v>
      </x:c>
      <x:c r="C67" s="15" t="str">
        <x:v>TS-ADM-016</x:v>
      </x:c>
      <x:c r="D67" s="15" t="str">
        <x:v>TC-ADM-066</x:v>
      </x:c>
      <x:c r="E67" s="15" t="str">
        <x:v>Fee Payment</x:v>
      </x:c>
      <x:c r="F67" s="15" t="str">
        <x:v>Discount amount not reflected in total payable amount during application edit flow</x:v>
      </x:c>
      <x:c r="G67" s="15" t="str">
        <x:v>Apply approved discount &gt; check payable amount &gt; repeat scenario during application edit flow</x:v>
      </x:c>
      <x:c r="H67" s="15" t="str">
        <x:v>Total payable should deduct discount amount.</x:v>
      </x:c>
      <x:c r="I67" s="15" t="str">
        <x:v>Payable amount remains unchanged. Issue observed during application edit flow.</x:v>
      </x:c>
      <x:c r="J67" s="15" t="str">
        <x:v>High</x:v>
      </x:c>
      <x:c r="K67" s="15" t="str">
        <x:v>P1</x:v>
      </x:c>
      <x:c r="L67" s="15" t="str">
        <x:v>QA - Chrome 126 / Windows 10</x:v>
      </x:c>
      <x:c r="M67" s="15" t="str">
        <x:v>Closed</x:v>
      </x:c>
      <x:c r="N67" s="15" t="str">
        <x:v>Aditya Singh</x:v>
      </x:c>
      <x:c r="O67" s="15" t="str">
        <x:v>QA Retest Team</x:v>
      </x:c>
      <x:c r="P67" s="18" t="n">
        <x:v>46215</x:v>
      </x:c>
      <x:c r="Q67" s="15" t="str">
        <x:v>Screenshot_BR-ADM-066.png</x:v>
      </x:c>
      <x:c r="R67" s="15" t="str"/>
    </x:row>
    <x:row r="68">
      <x:c r="A68" s="15" t="str">
        <x:v>BR-ADM-067</x:v>
      </x:c>
      <x:c r="B68" s="15" t="str">
        <x:v>RQ-ADM-017</x:v>
      </x:c>
      <x:c r="C68" s="15" t="str">
        <x:v>TS-ADM-017</x:v>
      </x:c>
      <x:c r="D68" s="15" t="str">
        <x:v>TC-ADM-067</x:v>
      </x:c>
      <x:c r="E68" s="15" t="str">
        <x:v>Fee Payment</x:v>
      </x:c>
      <x:c r="F68" s="15" t="str">
        <x:v>Cancelled transaction visible as successful in payment history during application edit flow</x:v>
      </x:c>
      <x:c r="G68" s="15" t="str">
        <x:v>Cancel payment at gateway &gt; return to ERP &gt; check history &gt; repeat scenario during application edit flow</x:v>
      </x:c>
      <x:c r="H68" s="15" t="str">
        <x:v>Cancelled transaction should show Failed/Cancelled.</x:v>
      </x:c>
      <x:c r="I68" s="15" t="str">
        <x:v>Cancelled transaction shows Success. Issue observed during application edit flow.</x:v>
      </x:c>
      <x:c r="J68" s="15" t="str">
        <x:v>Critical</x:v>
      </x:c>
      <x:c r="K68" s="15" t="str">
        <x:v>P1</x:v>
      </x:c>
      <x:c r="L68" s="15" t="str">
        <x:v>QA - Edge / Windows 10</x:v>
      </x:c>
      <x:c r="M68" s="15" t="str">
        <x:v>Retest</x:v>
      </x:c>
      <x:c r="N68" s="15" t="str">
        <x:v>Aditya Singh</x:v>
      </x:c>
      <x:c r="O68" s="15" t="str">
        <x:v>Dev Team A</x:v>
      </x:c>
      <x:c r="P68" s="18" t="n">
        <x:v>46216</x:v>
      </x:c>
      <x:c r="Q68" s="15" t="str">
        <x:v>Screenshot_BR-ADM-067.png</x:v>
      </x:c>
      <x:c r="R68" s="15" t="str">
        <x:v>Retest required after fix</x:v>
      </x:c>
    </x:row>
    <x:row r="69">
      <x:c r="A69" s="15" t="str">
        <x:v>BR-ADM-068</x:v>
      </x:c>
      <x:c r="B69" s="15" t="str">
        <x:v>RQ-ADM-018</x:v>
      </x:c>
      <x:c r="C69" s="15" t="str">
        <x:v>TS-ADM-018</x:v>
      </x:c>
      <x:c r="D69" s="15" t="str">
        <x:v>TC-ADM-068</x:v>
      </x:c>
      <x:c r="E69" s="15" t="str">
        <x:v>Admission Approval</x:v>
      </x:c>
      <x:c r="F69" s="15" t="str">
        <x:v>Admission can be approved without mandatory documents during application edit flow</x:v>
      </x:c>
      <x:c r="G69" s="15" t="str">
        <x:v>Create admission record with missing document &gt; approve &gt; repeat scenario during application edit flow</x:v>
      </x:c>
      <x:c r="H69" s="15" t="str">
        <x:v>System should block approval until mandatory documents are uploaded/verified.</x:v>
      </x:c>
      <x:c r="I69" s="15" t="str">
        <x:v>Admission approved without required documents. Issue observed during application edit flow.</x:v>
      </x:c>
      <x:c r="J69" s="15" t="str">
        <x:v>Critical</x:v>
      </x:c>
      <x:c r="K69" s="15" t="str">
        <x:v>P1</x:v>
      </x:c>
      <x:c r="L69" s="15" t="str">
        <x:v>QA - Firefox / Windows 10</x:v>
      </x:c>
      <x:c r="M69" s="15" t="str">
        <x:v>Fixed</x:v>
      </x:c>
      <x:c r="N69" s="15" t="str">
        <x:v>Aditya Singh</x:v>
      </x:c>
      <x:c r="O69" s="15" t="str">
        <x:v>Dev Team B</x:v>
      </x:c>
      <x:c r="P69" s="18" t="n">
        <x:v>46217</x:v>
      </x:c>
      <x:c r="Q69" s="15" t="str">
        <x:v>Screenshot_BR-ADM-068.png</x:v>
      </x:c>
      <x:c r="R69" s="15" t="str">
        <x:v>Retest required after fix</x:v>
      </x:c>
    </x:row>
    <x:row r="70">
      <x:c r="A70" s="15" t="str">
        <x:v>BR-ADM-069</x:v>
      </x:c>
      <x:c r="B70" s="15" t="str">
        <x:v>RQ-ADM-019</x:v>
      </x:c>
      <x:c r="C70" s="15" t="str">
        <x:v>TS-ADM-019</x:v>
      </x:c>
      <x:c r="D70" s="15" t="str">
        <x:v>TC-ADM-069</x:v>
      </x:c>
      <x:c r="E70" s="15" t="str">
        <x:v>Admission Approval</x:v>
      </x:c>
      <x:c r="F70" s="15" t="str">
        <x:v>Rejected admission record still appears in active student list during application edit flow</x:v>
      </x:c>
      <x:c r="G70" s="15" t="str">
        <x:v>Reject application &gt; open active student list &gt; repeat scenario during application edit flow</x:v>
      </x:c>
      <x:c r="H70" s="15" t="str">
        <x:v>Rejected applicants should not appear as active students.</x:v>
      </x:c>
      <x:c r="I70" s="15" t="str">
        <x:v>Rejected record appears in active list. Issue observed during application edit flow.</x:v>
      </x:c>
      <x:c r="J70" s="15" t="str">
        <x:v>High</x:v>
      </x:c>
      <x:c r="K70" s="15" t="str">
        <x:v>P1</x:v>
      </x:c>
      <x:c r="L70" s="15" t="str">
        <x:v>UAT - Chrome / Windows 11</x:v>
      </x:c>
      <x:c r="M70" s="15" t="str">
        <x:v>In Progress</x:v>
      </x:c>
      <x:c r="N70" s="15" t="str">
        <x:v>Aditya Singh</x:v>
      </x:c>
      <x:c r="O70" s="15" t="str">
        <x:v>Admission Module Dev</x:v>
      </x:c>
      <x:c r="P70" s="18" t="n">
        <x:v>46218</x:v>
      </x:c>
      <x:c r="Q70" s="15" t="str">
        <x:v>Screenshot_BR-ADM-069.png</x:v>
      </x:c>
      <x:c r="R70" s="15" t="str"/>
    </x:row>
    <x:row r="71">
      <x:c r="A71" s="15" t="str">
        <x:v>BR-ADM-070</x:v>
      </x:c>
      <x:c r="B71" s="15" t="str">
        <x:v>RQ-ADM-020</x:v>
      </x:c>
      <x:c r="C71" s="15" t="str">
        <x:v>TS-ADM-020</x:v>
      </x:c>
      <x:c r="D71" s="15" t="str">
        <x:v>TC-ADM-070</x:v>
      </x:c>
      <x:c r="E71" s="15" t="str">
        <x:v>Admission Approval</x:v>
      </x:c>
      <x:c r="F71" s="15" t="str">
        <x:v>Approval remarks not saved after final approval during application edit flow</x:v>
      </x:c>
      <x:c r="G71" s="15" t="str">
        <x:v>Enter remarks during approval &gt; submit &gt; reopen approval history &gt; repeat scenario during application edit flow</x:v>
      </x:c>
      <x:c r="H71" s="15" t="str">
        <x:v>Remarks should be saved in approval history.</x:v>
      </x:c>
      <x:c r="I71" s="15" t="str">
        <x:v>Remarks field is blank after approval. Issue observed during application edit flow.</x:v>
      </x:c>
      <x:c r="J71" s="15" t="str">
        <x:v>Medium</x:v>
      </x:c>
      <x:c r="K71" s="15" t="str">
        <x:v>P2</x:v>
      </x:c>
      <x:c r="L71" s="15" t="str">
        <x:v>QA - Mobile Responsive</x:v>
      </x:c>
      <x:c r="M71" s="15" t="str">
        <x:v>Closed</x:v>
      </x:c>
      <x:c r="N71" s="15" t="str">
        <x:v>Aditya Singh</x:v>
      </x:c>
      <x:c r="O71" s="15" t="str">
        <x:v>Backend Team</x:v>
      </x:c>
      <x:c r="P71" s="18" t="n">
        <x:v>46219</x:v>
      </x:c>
      <x:c r="Q71" s="15" t="str">
        <x:v>Screenshot_BR-ADM-070.png</x:v>
      </x:c>
      <x:c r="R71" s="15" t="str"/>
    </x:row>
    <x:row r="72">
      <x:c r="A72" s="15" t="str">
        <x:v>BR-ADM-071</x:v>
      </x:c>
      <x:c r="B72" s="15" t="str">
        <x:v>RQ-ADM-021</x:v>
      </x:c>
      <x:c r="C72" s="15" t="str">
        <x:v>TS-ADM-021</x:v>
      </x:c>
      <x:c r="D72" s="15" t="str">
        <x:v>TC-ADM-071</x:v>
      </x:c>
      <x:c r="E72" s="15" t="str">
        <x:v>Admission Approval</x:v>
      </x:c>
      <x:c r="F72" s="15" t="str">
        <x:v>Unauthorized user can approve admission request during application edit flow</x:v>
      </x:c>
      <x:c r="G72" s="15" t="str">
        <x:v>Login as counselor role &gt; open approval page &gt; approve record &gt; repeat scenario during application edit flow</x:v>
      </x:c>
      <x:c r="H72" s="15" t="str">
        <x:v>Only authorized role should approve admission.</x:v>
      </x:c>
      <x:c r="I72" s="15" t="str">
        <x:v>Counselor is able to approve admission. Issue observed during application edit flow.</x:v>
      </x:c>
      <x:c r="J72" s="15" t="str">
        <x:v>Critical</x:v>
      </x:c>
      <x:c r="K72" s="15" t="str">
        <x:v>P1</x:v>
      </x:c>
      <x:c r="L72" s="15" t="str">
        <x:v>QA - Chrome 126 / Windows 10</x:v>
      </x:c>
      <x:c r="M72" s="15" t="str">
        <x:v>Retest</x:v>
      </x:c>
      <x:c r="N72" s="15" t="str">
        <x:v>Aditya Singh</x:v>
      </x:c>
      <x:c r="O72" s="15" t="str">
        <x:v>UI Team</x:v>
      </x:c>
      <x:c r="P72" s="18" t="n">
        <x:v>46220</x:v>
      </x:c>
      <x:c r="Q72" s="15" t="str">
        <x:v>Screenshot_BR-ADM-071.png</x:v>
      </x:c>
      <x:c r="R72" s="15" t="str">
        <x:v>Retest required after fix</x:v>
      </x:c>
    </x:row>
    <x:row r="73">
      <x:c r="A73" s="15" t="str">
        <x:v>BR-ADM-072</x:v>
      </x:c>
      <x:c r="B73" s="15" t="str">
        <x:v>RQ-ADM-022</x:v>
      </x:c>
      <x:c r="C73" s="15" t="str">
        <x:v>TS-ADM-022</x:v>
      </x:c>
      <x:c r="D73" s="15" t="str">
        <x:v>TC-ADM-072</x:v>
      </x:c>
      <x:c r="E73" s="15" t="str">
        <x:v>Admission Approval</x:v>
      </x:c>
      <x:c r="F73" s="15" t="str">
        <x:v>Admission status not updated after final approval during application edit flow</x:v>
      </x:c>
      <x:c r="G73" s="15" t="str">
        <x:v>Approve admission &gt; check applicant status &gt; repeat scenario during application edit flow</x:v>
      </x:c>
      <x:c r="H73" s="15" t="str">
        <x:v>Status should update to Approved/Admitted.</x:v>
      </x:c>
      <x:c r="I73" s="15" t="str">
        <x:v>Status remains Submitted. Issue observed during application edit flow.</x:v>
      </x:c>
      <x:c r="J73" s="15" t="str">
        <x:v>High</x:v>
      </x:c>
      <x:c r="K73" s="15" t="str">
        <x:v>P1</x:v>
      </x:c>
      <x:c r="L73" s="15" t="str">
        <x:v>QA - Edge / Windows 10</x:v>
      </x:c>
      <x:c r="M73" s="15" t="str">
        <x:v>Closed</x:v>
      </x:c>
      <x:c r="N73" s="15" t="str">
        <x:v>Aditya Singh</x:v>
      </x:c>
      <x:c r="O73" s="15" t="str">
        <x:v>QA Retest Team</x:v>
      </x:c>
      <x:c r="P73" s="18" t="n">
        <x:v>46221</x:v>
      </x:c>
      <x:c r="Q73" s="15" t="str">
        <x:v>Screenshot_BR-ADM-072.png</x:v>
      </x:c>
      <x:c r="R73" s="15" t="str"/>
    </x:row>
    <x:row r="74">
      <x:c r="A74" s="15" t="str">
        <x:v>BR-ADM-073</x:v>
      </x:c>
      <x:c r="B74" s="15" t="str">
        <x:v>RQ-ADM-023</x:v>
      </x:c>
      <x:c r="C74" s="15" t="str">
        <x:v>TS-ADM-023</x:v>
      </x:c>
      <x:c r="D74" s="15" t="str">
        <x:v>TC-ADM-073</x:v>
      </x:c>
      <x:c r="E74" s="15" t="str">
        <x:v>Student Profile</x:v>
      </x:c>
      <x:c r="F74" s="15" t="str">
        <x:v>Student profile not created after admission approval during application edit flow</x:v>
      </x:c>
      <x:c r="G74" s="15" t="str">
        <x:v>Approve admission &gt; open Student Profile search &gt; repeat scenario during application edit flow</x:v>
      </x:c>
      <x:c r="H74" s="15" t="str">
        <x:v>Student profile should be auto-created after approval.</x:v>
      </x:c>
      <x:c r="I74" s="15" t="str">
        <x:v>Approved student profile is not found. Issue observed during application edit flow.</x:v>
      </x:c>
      <x:c r="J74" s="15" t="str">
        <x:v>Critical</x:v>
      </x:c>
      <x:c r="K74" s="15" t="str">
        <x:v>P1</x:v>
      </x:c>
      <x:c r="L74" s="15" t="str">
        <x:v>QA - Firefox / Windows 10</x:v>
      </x:c>
      <x:c r="M74" s="15" t="str">
        <x:v>Open</x:v>
      </x:c>
      <x:c r="N74" s="15" t="str">
        <x:v>Aditya Singh</x:v>
      </x:c>
      <x:c r="O74" s="15" t="str">
        <x:v>Dev Team A</x:v>
      </x:c>
      <x:c r="P74" s="18" t="n">
        <x:v>46204</x:v>
      </x:c>
      <x:c r="Q74" s="15" t="str">
        <x:v>Screenshot_BR-ADM-073.png</x:v>
      </x:c>
      <x:c r="R74" s="15" t="str"/>
    </x:row>
    <x:row r="75">
      <x:c r="A75" s="15" t="str">
        <x:v>BR-ADM-074</x:v>
      </x:c>
      <x:c r="B75" s="15" t="str">
        <x:v>RQ-ADM-024</x:v>
      </x:c>
      <x:c r="C75" s="15" t="str">
        <x:v>TS-ADM-024</x:v>
      </x:c>
      <x:c r="D75" s="15" t="str">
        <x:v>TC-ADM-074</x:v>
      </x:c>
      <x:c r="E75" s="15" t="str">
        <x:v>Student Profile</x:v>
      </x:c>
      <x:c r="F75" s="15" t="str">
        <x:v>Student photo not displayed on profile after upload during application edit flow</x:v>
      </x:c>
      <x:c r="G75" s="15" t="str">
        <x:v>Upload applicant photo &gt; approve admission &gt; open profile &gt; repeat scenario during application edit flow</x:v>
      </x:c>
      <x:c r="H75" s="15" t="str">
        <x:v>Photo should display in student profile.</x:v>
      </x:c>
      <x:c r="I75" s="15" t="str">
        <x:v>Photo section displays broken image icon. Issue observed during application edit flow.</x:v>
      </x:c>
      <x:c r="J75" s="15" t="str">
        <x:v>Medium</x:v>
      </x:c>
      <x:c r="K75" s="15" t="str">
        <x:v>P2</x:v>
      </x:c>
      <x:c r="L75" s="15" t="str">
        <x:v>UAT - Chrome / Windows 11</x:v>
      </x:c>
      <x:c r="M75" s="15" t="str">
        <x:v>Closed</x:v>
      </x:c>
      <x:c r="N75" s="15" t="str">
        <x:v>Aditya Singh</x:v>
      </x:c>
      <x:c r="O75" s="15" t="str">
        <x:v>Dev Team B</x:v>
      </x:c>
      <x:c r="P75" s="18" t="n">
        <x:v>46205</x:v>
      </x:c>
      <x:c r="Q75" s="15" t="str">
        <x:v>Screenshot_BR-ADM-074.png</x:v>
      </x:c>
      <x:c r="R75" s="15" t="str"/>
    </x:row>
    <x:row r="76">
      <x:c r="A76" s="15" t="str">
        <x:v>BR-ADM-075</x:v>
      </x:c>
      <x:c r="B76" s="15" t="str">
        <x:v>RQ-ADM-025</x:v>
      </x:c>
      <x:c r="C76" s="15" t="str">
        <x:v>TS-ADM-025</x:v>
      </x:c>
      <x:c r="D76" s="15" t="str">
        <x:v>TC-ADM-075</x:v>
      </x:c>
      <x:c r="E76" s="15" t="str">
        <x:v>Student Profile</x:v>
      </x:c>
      <x:c r="F76" s="15" t="str">
        <x:v>Permanent and correspondence address values swapped during application edit flow</x:v>
      </x:c>
      <x:c r="G76" s="15" t="str">
        <x:v>Enter different addresses &gt; save &gt; open profile &gt; repeat scenario during application edit flow</x:v>
      </x:c>
      <x:c r="H76" s="15" t="str">
        <x:v>Each address should display in correct section.</x:v>
      </x:c>
      <x:c r="I76" s="15" t="str">
        <x:v>Permanent address shown under correspondence address. Issue observed during application edit flow.</x:v>
      </x:c>
      <x:c r="J76" s="15" t="str">
        <x:v>Medium</x:v>
      </x:c>
      <x:c r="K76" s="15" t="str">
        <x:v>P2</x:v>
      </x:c>
      <x:c r="L76" s="15" t="str">
        <x:v>QA - Mobile Responsive</x:v>
      </x:c>
      <x:c r="M76" s="15" t="str">
        <x:v>In Progress</x:v>
      </x:c>
      <x:c r="N76" s="15" t="str">
        <x:v>Aditya Singh</x:v>
      </x:c>
      <x:c r="O76" s="15" t="str">
        <x:v>Admission Module Dev</x:v>
      </x:c>
      <x:c r="P76" s="18" t="n">
        <x:v>46206</x:v>
      </x:c>
      <x:c r="Q76" s="15" t="str">
        <x:v>Screenshot_BR-ADM-075.png</x:v>
      </x:c>
      <x:c r="R76" s="15" t="str"/>
    </x:row>
  </x:sheetData>
  <x:conditionalFormatting sqref="J2:J76">
    <x:cfRule type="expression" dxfId="0" priority="1">
      <x:formula>J2="Critical"</x:formula>
    </x:cfRule>
    <x:cfRule type="expression" dxfId="1" priority="2">
      <x:formula>J2="High"</x:formula>
    </x:cfRule>
    <x:cfRule type="expression" dxfId="2" priority="3">
      <x:formula>J2="Medium"</x:formula>
    </x:cfRule>
    <x:cfRule type="expression" dxfId="3" priority="4">
      <x:formula>J2="Low"</x:formula>
    </x:cfRule>
  </x:conditionalFormatting>
  <x:conditionalFormatting sqref="M2:M76">
    <x:cfRule type="expression" dxfId="4" priority="5">
      <x:formula>M2="Open"</x:formula>
    </x:cfRule>
    <x:cfRule type="expression" dxfId="5" priority="6">
      <x:formula>M2="Closed"</x:formula>
    </x:cfRule>
  </x:conditionalFormatting>
  <x:dataValidations count="4">
    <x:dataValidation type="list" sqref="J2:J76">
      <x:formula1>Lists!$A$2:$A$5</x:formula1>
    </x:dataValidation>
    <x:dataValidation type="list" sqref="K2:K76">
      <x:formula1>Lists!$B$2:$B$5</x:formula1>
    </x:dataValidation>
    <x:dataValidation type="list" sqref="M2:M76">
      <x:formula1>Lists!$C$2:$C$7</x:formula1>
    </x:dataValidation>
    <x:dataValidation type="list" sqref="E2:E76">
      <x:formula1>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c58f8890a46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4" max="4" width="16" hidden="0" customWidth="1"/>
    <x:col min="5" max="5" width="12" hidden="0" customWidth="1"/>
    <x:col min="6" max="6" width="28" hidden="0" customWidth="1"/>
    <x:col min="8" max="8" width="16" hidden="0" customWidth="1"/>
    <x:col min="9" max="9" width="12" hidden="0" customWidth="1"/>
  </x:cols>
  <x:sheetData>
    <x:row r="1">
      <x:c r="A1" s="4" t="str">
        <x:v>Project Name</x:v>
      </x:c>
      <x:c r="B1" s="4" t="str">
        <x:v>Student Life Cycle ERP System</x:v>
      </x:c>
      <x:c r="D1" s="6" t="str">
        <x:v>Severity Summary</x:v>
      </x:c>
      <x:c r="E1" s="6" t="str"/>
      <x:c r="F1" s="6" t="str"/>
      <x:c r="H1" s="6" t="str">
        <x:v>Status Summary</x:v>
      </x:c>
      <x:c r="I1" s="6" t="str"/>
    </x:row>
    <x:row r="2">
      <x:c r="A2" s="12" t="str">
        <x:v>Module</x:v>
      </x:c>
      <x:c r="B2" s="12" t="str">
        <x:v>Student Admission</x:v>
      </x:c>
      <x:c r="D2" t="str">
        <x:v>Critical</x:v>
      </x:c>
      <x:c r="E2" t="n">
        <x:f>COUNTIF('Bug Reports'!J2:J76,"Critical")</x:f>
        <x:v>16</x:v>
      </x:c>
      <x:c r="F2" t="str">
        <x:v>High application impact</x:v>
      </x:c>
      <x:c r="H2" t="str">
        <x:v>Open</x:v>
      </x:c>
      <x:c r="I2" t="n">
        <x:f>COUNTIF('Bug Reports'!M2:M76,"Open")</x:f>
        <x:v>5</x:v>
      </x:c>
    </x:row>
    <x:row r="3">
      <x:c r="A3" s="12" t="str">
        <x:v>Total Bugs</x:v>
      </x:c>
      <x:c r="B3" s="12" t="n">
        <x:f>COUNTA('Bug Reports'!A2:A76)</x:f>
        <x:v>75</x:v>
      </x:c>
      <x:c r="D3" t="str">
        <x:v>High</x:v>
      </x:c>
      <x:c r="E3" t="n">
        <x:f>COUNTIF('Bug Reports'!J2:J76,"High")</x:f>
        <x:v>28</x:v>
      </x:c>
      <x:c r="F3" t="str">
        <x:v>Major workflow impact</x:v>
      </x:c>
      <x:c r="H3" t="str">
        <x:v>In Progress</x:v>
      </x:c>
      <x:c r="I3" t="n">
        <x:f>COUNTIF('Bug Reports'!M2:M76,"In Progress")</x:f>
        <x:v>31</x:v>
      </x:c>
    </x:row>
    <x:row r="4">
      <x:c r="A4" s="12" t="str">
        <x:v>Critical Bugs</x:v>
      </x:c>
      <x:c r="B4" s="12" t="n">
        <x:f>COUNTIF('Bug Reports'!J2:J76,"Critical")</x:f>
        <x:v>16</x:v>
      </x:c>
      <x:c r="D4" t="str">
        <x:v>Medium</x:v>
      </x:c>
      <x:c r="E4" t="n">
        <x:f>COUNTIF('Bug Reports'!J2:J76,"Medium")</x:f>
        <x:v>26</x:v>
      </x:c>
      <x:c r="F4" t="str">
        <x:v>Partial functional impact</x:v>
      </x:c>
      <x:c r="H4" t="str">
        <x:v>Fixed</x:v>
      </x:c>
      <x:c r="I4" t="n">
        <x:f>COUNTIF('Bug Reports'!M2:M76,"Fixed")</x:f>
        <x:v>3</x:v>
      </x:c>
    </x:row>
    <x:row r="5">
      <x:c r="A5" s="12" t="str">
        <x:v>High Bugs</x:v>
      </x:c>
      <x:c r="B5" s="12" t="n">
        <x:f>COUNTIF('Bug Reports'!J2:J76,"High")</x:f>
        <x:v>28</x:v>
      </x:c>
      <x:c r="D5" t="str">
        <x:v>Low</x:v>
      </x:c>
      <x:c r="E5" t="n">
        <x:f>COUNTIF('Bug Reports'!J2:J76,"Low")</x:f>
        <x:v>5</x:v>
      </x:c>
      <x:c r="F5" t="str">
        <x:v>Minor UI/validation impact</x:v>
      </x:c>
      <x:c r="H5" t="str">
        <x:v>Retest</x:v>
      </x:c>
      <x:c r="I5" t="n">
        <x:f>COUNTIF('Bug Reports'!M2:M76,"Retest")</x:f>
        <x:v>5</x:v>
      </x:c>
    </x:row>
    <x:row r="6">
      <x:c r="A6" s="12" t="str">
        <x:v>Medium Bugs</x:v>
      </x:c>
      <x:c r="B6" s="12" t="n">
        <x:f>COUNTIF('Bug Reports'!J2:J76,"Medium")</x:f>
        <x:v>26</x:v>
      </x:c>
      <x:c r="H6" t="str">
        <x:v>Closed</x:v>
      </x:c>
      <x:c r="I6" t="n">
        <x:f>COUNTIF('Bug Reports'!M2:M76,"Closed")</x:f>
        <x:v>31</x:v>
      </x:c>
    </x:row>
    <x:row r="7">
      <x:c r="A7" s="12" t="str">
        <x:v>Low Bugs</x:v>
      </x:c>
      <x:c r="B7" s="12" t="n">
        <x:f>COUNTIF('Bug Reports'!J2:J76,"Low")</x:f>
        <x:v>5</x:v>
      </x:c>
      <x:c r="H7" t="str">
        <x:v>Rejected</x:v>
      </x:c>
      <x:c r="I7" t="n">
        <x:f>COUNTIF('Bug Reports'!M2:M76,"Rejected")</x:f>
        <x:v>0</x:v>
      </x:c>
    </x:row>
    <x:row r="8">
      <x:c r="A8" s="12" t="str">
        <x:v>Open Bugs</x:v>
      </x:c>
      <x:c r="B8" s="12" t="n">
        <x:f>COUNTIF('Bug Reports'!M2:M76,"Open")</x:f>
        <x:v>5</x:v>
      </x:c>
    </x:row>
    <x:row r="9">
      <x:c r="A9" s="12" t="str">
        <x:v>Closed Bugs</x:v>
      </x:c>
      <x:c r="B9" s="12" t="n">
        <x:f>COUNTIF('Bug Reports'!M2:M76,"Closed")</x:f>
        <x:v>31</x:v>
      </x:c>
    </x:row>
    <x:row r="10">
      <x:c r="A10" s="12" t="str">
        <x:v>Prepared By</x:v>
      </x:c>
      <x:c r="B10" s="12" t="str">
        <x:v>Aditya Singh</x:v>
      </x:c>
    </x:row>
  </x:sheetData>
  <x:pageMargins left="0.7" right="0.7" top="0.75" bottom="0.75" header="0.3" footer="0.3"/>
  <x:drawing xmlns:r="http://schemas.openxmlformats.org/officeDocument/2006/relationships" r:id="R29e182b555ab4d88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Severity</x:v>
      </x:c>
      <x:c r="B1" t="str">
        <x:v>Priority</x:v>
      </x:c>
      <x:c r="C1" t="str">
        <x:v>Status</x:v>
      </x:c>
      <x:c r="D1" t="str">
        <x:v>Module</x:v>
      </x:c>
    </x:row>
    <x:row r="2">
      <x:c r="A2" t="str">
        <x:v>Critical</x:v>
      </x:c>
      <x:c r="B2" t="str">
        <x:v>P1</x:v>
      </x:c>
      <x:c r="C2" t="str">
        <x:v>Open</x:v>
      </x:c>
      <x:c r="D2" t="str">
        <x:v>Student Registration</x:v>
      </x:c>
    </x:row>
    <x:row r="3">
      <x:c r="A3" t="str">
        <x:v>High</x:v>
      </x:c>
      <x:c r="B3" t="str">
        <x:v>P2</x:v>
      </x:c>
      <x:c r="C3" t="str">
        <x:v>In Progress</x:v>
      </x:c>
      <x:c r="D3" t="str">
        <x:v>Admission Form</x:v>
      </x:c>
    </x:row>
    <x:row r="4">
      <x:c r="A4" t="str">
        <x:v>Medium</x:v>
      </x:c>
      <x:c r="B4" t="str">
        <x:v>P3</x:v>
      </x:c>
      <x:c r="C4" t="str">
        <x:v>Fixed</x:v>
      </x:c>
      <x:c r="D4" t="str">
        <x:v>Course Selection</x:v>
      </x:c>
    </x:row>
    <x:row r="5">
      <x:c r="A5" t="str">
        <x:v>Low</x:v>
      </x:c>
      <x:c r="B5" t="str">
        <x:v>P4</x:v>
      </x:c>
      <x:c r="C5" t="str">
        <x:v>Retest</x:v>
      </x:c>
      <x:c r="D5" t="str">
        <x:v>Document Upload</x:v>
      </x:c>
    </x:row>
    <x:row r="6">
      <x:c r="C6" t="str">
        <x:v>Closed</x:v>
      </x:c>
      <x:c r="D6" t="str">
        <x:v>Fee Payment</x:v>
      </x:c>
    </x:row>
    <x:row r="7">
      <x:c r="C7" t="str">
        <x:v>Rejected</x:v>
      </x:c>
      <x:c r="D7" t="str">
        <x:v>Admission Approval</x:v>
      </x:c>
    </x:row>
    <x:row r="8">
      <x:c r="D8" t="str">
        <x:v>Student Profile</x:v>
      </x:c>
    </x:row>
    <x:row r="9">
      <x:c r="D9" t="str">
        <x:v>Notifications</x:v>
      </x:c>
    </x:row>
    <x:row r="10">
      <x:c r="D10" t="str">
        <x:v>Reports</x:v>
      </x:c>
    </x:row>
    <x:row r="11">
      <x:c r="D11" t="str">
        <x:v>Role &amp; Access</x:v>
      </x:c>
    </x:row>
  </x:sheetData>
  <x:pageMargins left="0.7" right="0.7" top="0.75" bottom="0.75" header="0.3" footer="0.3"/>
</x:worksheet>
</file>